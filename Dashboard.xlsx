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g" ContentType="image/jpeg"/>
  <Default Extension="png" ContentType="image/png"/>
  <Default Extension="rels" ContentType="application/vnd.openxmlformats-package.relationships+xml"/>
  <Default Extension="svg" ContentType="image/svg+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hartsheets/sheet1.xml" ContentType="application/vnd.openxmlformats-officedocument.spreadsheetml.chart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1.xml" ContentType="application/vnd.openxmlformats-officedocument.themeOverrid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heme/themeOverride2.xml" ContentType="application/vnd.openxmlformats-officedocument.themeOverrid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heme/themeOverride3.xml" ContentType="application/vnd.openxmlformats-officedocument.themeOverrid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heme/themeOverride4.xml" ContentType="application/vnd.openxmlformats-officedocument.themeOverrid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2.xml" ContentType="application/vnd.openxmlformats-officedocument.drawing+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3.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4.xml" ContentType="application/vnd.openxmlformats-officedocument.drawing+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queryTables/queryTable1.xml" ContentType="application/vnd.openxmlformats-officedocument.spreadsheetml.query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drawings/drawing5.xml" ContentType="application/vnd.openxmlformats-officedocument.drawing+xml"/>
  <Override PartName="/xl/drawings/drawing6.xml" ContentType="application/vnd.openxmlformats-officedocument.drawing+xml"/>
  <Override PartName="/xl/slicers/slicer3.xml" ContentType="application/vnd.ms-excel.slicer+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charts/chart15.xml" ContentType="application/vnd.openxmlformats-officedocument.drawingml.chart+xml"/>
  <Override PartName="/xl/charts/style16.xml" ContentType="application/vnd.ms-office.chartstyle+xml"/>
  <Override PartName="/xl/charts/colors16.xml" ContentType="application/vnd.ms-office.chartcolorstyle+xml"/>
  <Override PartName="/xl/charts/chart16.xml" ContentType="application/vnd.openxmlformats-officedocument.drawingml.chart+xml"/>
  <Override PartName="/xl/charts/style17.xml" ContentType="application/vnd.ms-office.chartstyle+xml"/>
  <Override PartName="/xl/charts/colors17.xml" ContentType="application/vnd.ms-office.chartcolorstyle+xml"/>
  <Override PartName="/xl/charts/chart17.xml" ContentType="application/vnd.openxmlformats-officedocument.drawingml.chart+xml"/>
  <Override PartName="/xl/charts/style18.xml" ContentType="application/vnd.ms-office.chartstyle+xml"/>
  <Override PartName="/xl/charts/colors18.xml" ContentType="application/vnd.ms-office.chartcolorstyle+xml"/>
  <Override PartName="/xl/charts/chart18.xml" ContentType="application/vnd.openxmlformats-officedocument.drawingml.chart+xml"/>
  <Override PartName="/xl/charts/style19.xml" ContentType="application/vnd.ms-office.chartstyle+xml"/>
  <Override PartName="/xl/charts/colors19.xml" ContentType="application/vnd.ms-office.chartcolorstyle+xml"/>
  <Override PartName="/xl/charts/chart19.xml" ContentType="application/vnd.openxmlformats-officedocument.drawingml.chart+xml"/>
  <Override PartName="/xl/charts/style20.xml" ContentType="application/vnd.ms-office.chartstyle+xml"/>
  <Override PartName="/xl/charts/colors2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330"/>
  <workbookPr hidePivotFieldList="1" defaultThemeVersion="166925"/>
  <mc:AlternateContent xmlns:mc="http://schemas.openxmlformats.org/markup-compatibility/2006">
    <mc:Choice Requires="x15">
      <x15ac:absPath xmlns:x15ac="http://schemas.microsoft.com/office/spreadsheetml/2010/11/ac" url="F:\DEPI\Course 1\5,6\"/>
    </mc:Choice>
  </mc:AlternateContent>
  <xr:revisionPtr revIDLastSave="0" documentId="13_ncr:1_{F47B49B5-7795-4B30-840C-919D39CF8CC6}" xr6:coauthVersionLast="47" xr6:coauthVersionMax="47" xr10:uidLastSave="{00000000-0000-0000-0000-000000000000}"/>
  <bookViews>
    <workbookView xWindow="-108" yWindow="-108" windowWidth="23256" windowHeight="12456" tabRatio="681" xr2:uid="{E2312CBD-59C3-411A-8F7F-B37AA3937D45}"/>
  </bookViews>
  <sheets>
    <sheet name="My Dashboard" sheetId="33" r:id="rId1"/>
    <sheet name="Problem (2)" sheetId="3" r:id="rId2"/>
    <sheet name="PV" sheetId="8" r:id="rId3"/>
    <sheet name="Sheet1" sheetId="31" r:id="rId4"/>
    <sheet name="Big one" sheetId="9" r:id="rId5"/>
    <sheet name="Dash" sheetId="10" r:id="rId6"/>
    <sheet name="Chart1" sheetId="28" r:id="rId7"/>
    <sheet name="Dependant DropDown List" sheetId="12" r:id="rId8"/>
    <sheet name="Problem" sheetId="2" r:id="rId9"/>
    <sheet name="Sheet5" sheetId="36" r:id="rId10"/>
    <sheet name="Sheet3" sheetId="34" r:id="rId11"/>
    <sheet name="Requirments" sheetId="5" r:id="rId12"/>
    <sheet name="Dash (2)" sheetId="32" r:id="rId13"/>
  </sheets>
  <definedNames>
    <definedName name="_xlnm._FilterDatabase" localSheetId="8" hidden="1">Problem!$A$3:$J$217</definedName>
    <definedName name="_xlchart.v1.0" hidden="1">Sheet1!$F$4:$F$10</definedName>
    <definedName name="_xlchart.v1.1" hidden="1">Sheet1!$G$3</definedName>
    <definedName name="_xlchart.v1.2" hidden="1">Sheet1!$G$4:$G$10</definedName>
    <definedName name="_xlcn.WorksheetConnection_Product_Dataset.xlsxData1" hidden="1">Data[]</definedName>
    <definedName name="ExternalData_1" localSheetId="9" hidden="1">Sheet5!$A$3:$J$217</definedName>
    <definedName name="Name">'Dependant DropDown List'!$G$4:$G$5</definedName>
    <definedName name="No">'Dependant DropDown List'!$G$4:$G$5</definedName>
    <definedName name="No1_">'Dependant DropDown List'!$G$13:$G$14</definedName>
    <definedName name="No2_">'Dependant DropDown List'!$L$4:$M$4</definedName>
    <definedName name="_xlnm.Print_Titles" localSheetId="4">'Big one'!$3:$4</definedName>
    <definedName name="range">'Dependant DropDown List'!$F$4:$F$4</definedName>
    <definedName name="Slicer_Category">#N/A</definedName>
    <definedName name="Slicer_Category1">#N/A</definedName>
    <definedName name="Slicer_Country">#N/A</definedName>
    <definedName name="Slicer_Country1">#N/A</definedName>
    <definedName name="Slicer_Product">#N/A</definedName>
    <definedName name="Slicer_Quarter">#N/A</definedName>
    <definedName name="Slicer_Quarter1">#N/A</definedName>
    <definedName name="Slicer_Region">#N/A</definedName>
    <definedName name="Slicer_Region1">#N/A</definedName>
    <definedName name="Slicer_Year">#N/A</definedName>
    <definedName name="Yes">'Dependant DropDown List'!$F$4:$F$5</definedName>
    <definedName name="Yes1">'Dependant DropDown List'!$F$13:$F$14</definedName>
    <definedName name="Yes2">'Dependant DropDown List'!$L$3:$M$3</definedName>
    <definedName name="الإجابة">'Dependant DropDown List'!$F$4:$F$5</definedName>
    <definedName name="تم_لأ">'Dependant DropDown List'!$G$4:$G$5</definedName>
  </definedNames>
  <calcPr calcId="181029"/>
  <pivotCaches>
    <pivotCache cacheId="0" r:id="rId14"/>
    <pivotCache cacheId="596" r:id="rId15"/>
    <pivotCache cacheId="599" r:id="rId16"/>
    <pivotCache cacheId="602" r:id="rId17"/>
    <pivotCache cacheId="605" r:id="rId18"/>
    <pivotCache cacheId="608" r:id="rId19"/>
    <pivotCache cacheId="611" r:id="rId20"/>
    <pivotCache cacheId="614" r:id="rId21"/>
    <pivotCache cacheId="617" r:id="rId22"/>
    <pivotCache cacheId="620" r:id="rId23"/>
    <pivotCache cacheId="623" r:id="rId24"/>
    <pivotCache cacheId="626" r:id="rId25"/>
    <pivotCache cacheId="629" r:id="rId26"/>
    <pivotCache cacheId="632" r:id="rId27"/>
    <pivotCache cacheId="635" r:id="rId28"/>
    <pivotCache cacheId="638" r:id="rId29"/>
    <pivotCache cacheId="641" r:id="rId30"/>
  </pivotCaches>
  <extLst>
    <ext xmlns:x14="http://schemas.microsoft.com/office/spreadsheetml/2009/9/main" uri="{876F7934-8845-4945-9796-88D515C7AA90}">
      <x14:pivotCaches>
        <pivotCache cacheId="17" r:id="rId31"/>
      </x14:pivotCaches>
    </ext>
    <ext xmlns:x14="http://schemas.microsoft.com/office/spreadsheetml/2009/9/main" uri="{BBE1A952-AA13-448e-AADC-164F8A28A991}">
      <x14:slicerCaches>
        <x14:slicerCache r:id="rId32"/>
        <x14:slicerCache r:id="rId33"/>
        <x14:slicerCache r:id="rId34"/>
        <x14:slicerCache r:id="rId35"/>
        <x14:slicerCache r:id="rId36"/>
        <x14:slicerCache r:id="rId37"/>
        <x14:slicerCache r:id="rId38"/>
        <x14:slicerCache r:id="rId39"/>
        <x14:slicerCache r:id="rId40"/>
        <x14:slicerCache r:id="rId4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 name="Data" connection="WorksheetConnection_Product_Dataset.xlsx!Data"/>
        </x15:modelTables>
      </x15:dataModel>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G11" i="31" l="1"/>
  <c r="N9" i="32"/>
  <c r="R9" i="32"/>
  <c r="I9" i="32"/>
  <c r="C9" i="3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37B0379-17C8-4E91-89A4-5E878DE4D346}" keepAlive="1" name="ModelConnection_ExternalData_11" description="Data Model" type="5" refreshedVersion="8" minRefreshableVersion="5" saveData="1">
    <dbPr connection="Data Model Connection" command="DRILLTHROUGH MAXROWS 1000 SELECT FROM [Model] WHERE ([Data].[Category].[All],[Data].[Country].[All],[Data].[Quarter].[All],[Data].[Region].[All],[Data].[Year].[All],[Measures].[Sum of Amount]) RETURN [$Data].[Order ID],[$Data].[Date],[$Data].[Product],[$Data].[Category],[$Data].[Country],[$Data].[Region],[$Data].[Month],[$Data].[Year],[$Data].[Quarter],[$Data].[Amount]" commandType="4"/>
    <extLst>
      <ext xmlns:x15="http://schemas.microsoft.com/office/spreadsheetml/2010/11/main" uri="{DE250136-89BD-433C-8126-D09CA5730AF9}">
        <x15:connection id="" model="1"/>
      </ext>
    </extLst>
  </connection>
  <connection id="2" xr16:uid="{A8147A1B-F9D4-40E7-9284-A87918594B9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F919710A-A480-4A71-A819-DCAC6160B7EF}" name="WorksheetConnection_Product_Dataset.xlsx!Data" type="102" refreshedVersion="8" minRefreshableVersion="5">
    <extLst>
      <ext xmlns:x15="http://schemas.microsoft.com/office/spreadsheetml/2010/11/main" uri="{DE250136-89BD-433C-8126-D09CA5730AF9}">
        <x15:connection id="Data" autoDelete="1">
          <x15:rangePr sourceName="_xlcn.WorksheetConnection_Product_Dataset.xlsxData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3">
    <s v="ThisWorkbookDataModel"/>
    <s v="{[Data].[Region].[All]}"/>
    <s v="{[Data].[Year].[All]}"/>
  </metadataStrings>
  <mdxMetadata count="2">
    <mdx n="0" f="s">
      <ms ns="1" c="0"/>
    </mdx>
    <mdx n="0" f="s">
      <ms ns="2" c="0"/>
    </mdx>
  </mdxMetadata>
  <valueMetadata count="2">
    <bk>
      <rc t="1" v="0"/>
    </bk>
    <bk>
      <rc t="1" v="1"/>
    </bk>
  </valueMetadata>
</metadata>
</file>

<file path=xl/sharedStrings.xml><?xml version="1.0" encoding="utf-8"?>
<sst xmlns="http://schemas.openxmlformats.org/spreadsheetml/2006/main" count="4246" uniqueCount="119">
  <si>
    <t>Australia</t>
  </si>
  <si>
    <t>Vegetables</t>
  </si>
  <si>
    <t>Carrots</t>
  </si>
  <si>
    <t>US</t>
  </si>
  <si>
    <t>Fruit</t>
  </si>
  <si>
    <t>Orange</t>
  </si>
  <si>
    <t>France</t>
  </si>
  <si>
    <t>Beans</t>
  </si>
  <si>
    <t>Apple</t>
  </si>
  <si>
    <t>Germany</t>
  </si>
  <si>
    <t>New Zealand</t>
  </si>
  <si>
    <t>Canada</t>
  </si>
  <si>
    <t>UK</t>
  </si>
  <si>
    <t>Banana</t>
  </si>
  <si>
    <t>Broccoli</t>
  </si>
  <si>
    <t>Mango</t>
  </si>
  <si>
    <t>Country</t>
  </si>
  <si>
    <t>Date</t>
  </si>
  <si>
    <t>Amount</t>
  </si>
  <si>
    <t>Category</t>
  </si>
  <si>
    <t>Product</t>
  </si>
  <si>
    <t>Order ID</t>
  </si>
  <si>
    <t>Region</t>
  </si>
  <si>
    <t>Month</t>
  </si>
  <si>
    <t>Year</t>
  </si>
  <si>
    <t>Quarter</t>
  </si>
  <si>
    <t>South</t>
  </si>
  <si>
    <t>July</t>
  </si>
  <si>
    <t>Q3</t>
  </si>
  <si>
    <t>East</t>
  </si>
  <si>
    <t>North</t>
  </si>
  <si>
    <t>August</t>
  </si>
  <si>
    <t>West</t>
  </si>
  <si>
    <t>September</t>
  </si>
  <si>
    <t>October</t>
  </si>
  <si>
    <t>Q4</t>
  </si>
  <si>
    <t>November</t>
  </si>
  <si>
    <t>December</t>
  </si>
  <si>
    <t>January</t>
  </si>
  <si>
    <t>Q1</t>
  </si>
  <si>
    <t>February</t>
  </si>
  <si>
    <t>March</t>
  </si>
  <si>
    <t>April</t>
  </si>
  <si>
    <t>May</t>
  </si>
  <si>
    <t>Q2</t>
  </si>
  <si>
    <t>June</t>
  </si>
  <si>
    <t xml:space="preserve">Piviot Table Practice Exercises </t>
  </si>
  <si>
    <t>Sept ember</t>
  </si>
  <si>
    <t>Data Cleaning</t>
  </si>
  <si>
    <t>Cleansing</t>
  </si>
  <si>
    <t>Data Pre</t>
  </si>
  <si>
    <t xml:space="preserve"> </t>
  </si>
  <si>
    <t>Total sales for each region</t>
  </si>
  <si>
    <t>No of Sales for each region</t>
  </si>
  <si>
    <t>Total sales over months</t>
  </si>
  <si>
    <t>Avg Sales</t>
  </si>
  <si>
    <t>Avg Sales for Each country</t>
  </si>
  <si>
    <t>Total sales For Category</t>
  </si>
  <si>
    <t>Total sales for country</t>
  </si>
  <si>
    <t>No of Sales for Each Product</t>
  </si>
  <si>
    <t>Total Sales for each country/ category</t>
  </si>
  <si>
    <t xml:space="preserve">total slaes for Country / category /product distributed by region </t>
  </si>
  <si>
    <t>% of SALES FOR category</t>
  </si>
  <si>
    <t>No of order ID</t>
  </si>
  <si>
    <t>Total Sales</t>
  </si>
  <si>
    <t>For Eact Year</t>
  </si>
  <si>
    <t>Sum of Amount</t>
  </si>
  <si>
    <t>Grand Total</t>
  </si>
  <si>
    <t>Count of Order ID</t>
  </si>
  <si>
    <t>Total Amount</t>
  </si>
  <si>
    <t>Pro</t>
  </si>
  <si>
    <t>(All)</t>
  </si>
  <si>
    <t xml:space="preserve"> T Amount</t>
  </si>
  <si>
    <t>T Region</t>
  </si>
  <si>
    <t>No of Orders</t>
  </si>
  <si>
    <t>Average of Amount</t>
  </si>
  <si>
    <t>Avg Amount</t>
  </si>
  <si>
    <t>Cat</t>
  </si>
  <si>
    <t>% Sales</t>
  </si>
  <si>
    <t>No of Products</t>
  </si>
  <si>
    <t>TS</t>
  </si>
  <si>
    <t>T Month</t>
  </si>
  <si>
    <t>Measure</t>
  </si>
  <si>
    <t>Yearly Sales</t>
  </si>
  <si>
    <t>EGY</t>
  </si>
  <si>
    <t>لم يتم الاستيفاء</t>
  </si>
  <si>
    <t>تم الاستيفاء</t>
  </si>
  <si>
    <t>No</t>
  </si>
  <si>
    <t>Yes</t>
  </si>
  <si>
    <t>Yes1</t>
  </si>
  <si>
    <t>No1</t>
  </si>
  <si>
    <t>Yes2</t>
  </si>
  <si>
    <t>No2</t>
  </si>
  <si>
    <t>Fruit Total</t>
  </si>
  <si>
    <t>Vegetables Total</t>
  </si>
  <si>
    <t>Germany Total</t>
  </si>
  <si>
    <t>Saly By Year</t>
  </si>
  <si>
    <t>% Fruits</t>
  </si>
  <si>
    <t>% Veg</t>
  </si>
  <si>
    <t>Count of Amount</t>
  </si>
  <si>
    <t>Total Sales for each country/ categoryn</t>
  </si>
  <si>
    <t>total slaes for Country / category /product distributed by region</t>
  </si>
  <si>
    <t>Column Labels</t>
  </si>
  <si>
    <t>All</t>
  </si>
  <si>
    <t>s</t>
  </si>
  <si>
    <t>Total Sales For Eact Year</t>
  </si>
  <si>
    <t>Sum of Order ID</t>
  </si>
  <si>
    <t xml:space="preserve"> region</t>
  </si>
  <si>
    <t>Data[Order ID]</t>
  </si>
  <si>
    <t>Data[Date]</t>
  </si>
  <si>
    <t>Data[Product]</t>
  </si>
  <si>
    <t>Data[Category]</t>
  </si>
  <si>
    <t>Data[Country]</t>
  </si>
  <si>
    <t>Data[Region]</t>
  </si>
  <si>
    <t>Data[Month]</t>
  </si>
  <si>
    <t>Data[Year]</t>
  </si>
  <si>
    <t>Data[Quarter]</t>
  </si>
  <si>
    <t>Data[Amount]</t>
  </si>
  <si>
    <t>Data returned for Total Sales, [Data].[Category].[All] - [Data].[Country].[All] - [Data].[Quarter].[All] - [Data].[Region].[All] - [Data].[Year].[All] (First 1000 rows).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</si>
</sst>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8" formatCode="&quot;$&quot;#,##0.00_);[Red]\(&quot;$&quot;#,##0.00\)"/>
    <numFmt numFmtId="44" formatCode="_(&quot;$&quot;* #,##0.00_);_(&quot;$&quot;* \(#,##0.00\);_(&quot;$&quot;* &quot;-&quot;??_);_(@_)"/>
    <numFmt numFmtId="164" formatCode="&quot;$&quot;#,##0"/>
    <numFmt numFmtId="165" formatCode="_(&quot;$&quot;* #,##0_);_(&quot;$&quot;* \(#,##0\);_(&quot;$&quot;* &quot;-&quot;??_);_(@_)"/>
    <numFmt numFmtId="166" formatCode="0_);\(0\)"/>
  </numFmts>
  <fonts count="11">
    <font>
      <sz val="11"/>
      <color theme="1"/>
      <name val="Calibri"/>
      <family val="2"/>
      <scheme val="minor"/>
    </font>
    <font>
      <b/>
      <sz val="13"/>
      <color theme="3"/>
      <name val="Calibri"/>
      <family val="2"/>
      <scheme val="minor"/>
    </font>
    <font>
      <b/>
      <sz val="16"/>
      <color theme="1"/>
      <name val="Calibri"/>
      <family val="2"/>
      <scheme val="minor"/>
    </font>
    <font>
      <b/>
      <sz val="14"/>
      <color theme="1"/>
      <name val="Calibri"/>
      <family val="2"/>
      <scheme val="minor"/>
    </font>
    <font>
      <b/>
      <sz val="11"/>
      <color theme="0"/>
      <name val="Calibri"/>
      <family val="2"/>
      <scheme val="minor"/>
    </font>
    <font>
      <b/>
      <sz val="11"/>
      <color rgb="FF002060"/>
      <name val="Calibri"/>
      <family val="2"/>
      <scheme val="minor"/>
    </font>
    <font>
      <sz val="11"/>
      <color rgb="FFFF0000"/>
      <name val="Calibri"/>
      <family val="2"/>
      <scheme val="minor"/>
    </font>
    <font>
      <b/>
      <sz val="36"/>
      <color theme="1"/>
      <name val="29LT Bukra Bold"/>
      <family val="2"/>
    </font>
    <font>
      <sz val="11"/>
      <color theme="1"/>
      <name val="Calibri"/>
      <family val="2"/>
      <scheme val="minor"/>
    </font>
    <font>
      <sz val="22"/>
      <color theme="1"/>
      <name val="Calibri"/>
      <family val="2"/>
      <scheme val="minor"/>
    </font>
    <font>
      <b/>
      <sz val="12"/>
      <color theme="1"/>
      <name val="Calibri"/>
      <family val="2"/>
      <scheme val="minor"/>
    </font>
  </fonts>
  <fills count="11">
    <fill>
      <patternFill patternType="none"/>
    </fill>
    <fill>
      <patternFill patternType="gray125"/>
    </fill>
    <fill>
      <patternFill patternType="solid">
        <fgColor theme="5" tint="0.7999816888943144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rgb="FFFFFF00"/>
        <bgColor indexed="64"/>
      </patternFill>
    </fill>
    <fill>
      <patternFill patternType="solid">
        <fgColor theme="5" tint="-0.249977111117893"/>
        <bgColor indexed="64"/>
      </patternFill>
    </fill>
    <fill>
      <patternFill patternType="solid">
        <fgColor theme="5" tint="0.39997558519241921"/>
        <bgColor indexed="64"/>
      </patternFill>
    </fill>
    <fill>
      <patternFill patternType="solid">
        <fgColor theme="2"/>
        <bgColor indexed="64"/>
      </patternFill>
    </fill>
    <fill>
      <patternFill patternType="solid">
        <fgColor theme="0" tint="-0.34998626667073579"/>
        <bgColor indexed="64"/>
      </patternFill>
    </fill>
    <fill>
      <patternFill patternType="solid">
        <fgColor theme="1" tint="4.9989318521683403E-2"/>
        <bgColor indexed="64"/>
      </patternFill>
    </fill>
  </fills>
  <borders count="12">
    <border>
      <left/>
      <right/>
      <top/>
      <bottom/>
      <diagonal/>
    </border>
    <border>
      <left/>
      <right/>
      <top/>
      <bottom style="thick">
        <color theme="4" tint="0.499984740745262"/>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diagonal/>
    </border>
  </borders>
  <cellStyleXfs count="3">
    <xf numFmtId="0" fontId="0" fillId="0" borderId="0"/>
    <xf numFmtId="0" fontId="1" fillId="0" borderId="1" applyNumberFormat="0" applyFill="0" applyAlignment="0" applyProtection="0"/>
    <xf numFmtId="9" fontId="8" fillId="0" borderId="0" applyFont="0" applyFill="0" applyBorder="0" applyAlignment="0" applyProtection="0"/>
  </cellStyleXfs>
  <cellXfs count="53">
    <xf numFmtId="0" fontId="0" fillId="0" borderId="0" xfId="0"/>
    <xf numFmtId="0" fontId="0" fillId="0" borderId="2" xfId="0" applyBorder="1" applyAlignment="1">
      <alignment horizontal="center" vertical="center"/>
    </xf>
    <xf numFmtId="164" fontId="0" fillId="0" borderId="2" xfId="0" applyNumberFormat="1" applyBorder="1" applyAlignment="1">
      <alignment horizontal="center" vertical="center"/>
    </xf>
    <xf numFmtId="14" fontId="0" fillId="0" borderId="2" xfId="0" applyNumberFormat="1" applyBorder="1" applyAlignment="1">
      <alignment horizontal="center" vertical="center"/>
    </xf>
    <xf numFmtId="8" fontId="0" fillId="0" borderId="2" xfId="0" applyNumberFormat="1" applyBorder="1" applyAlignment="1">
      <alignment horizontal="center" vertical="center"/>
    </xf>
    <xf numFmtId="0" fontId="0" fillId="0" borderId="3" xfId="0" applyBorder="1" applyAlignment="1">
      <alignment horizontal="center" vertical="center"/>
    </xf>
    <xf numFmtId="164" fontId="0" fillId="0" borderId="4" xfId="0" applyNumberFormat="1" applyBorder="1" applyAlignment="1">
      <alignment horizontal="center" vertical="center"/>
    </xf>
    <xf numFmtId="0" fontId="0" fillId="0" borderId="5" xfId="0" applyBorder="1" applyAlignment="1">
      <alignment horizontal="center" vertical="center"/>
    </xf>
    <xf numFmtId="14" fontId="0" fillId="0" borderId="6" xfId="0" applyNumberFormat="1" applyBorder="1" applyAlignment="1">
      <alignment horizontal="center" vertical="center"/>
    </xf>
    <xf numFmtId="0" fontId="0" fillId="0" borderId="6" xfId="0"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14" fontId="0" fillId="0" borderId="9" xfId="0" applyNumberFormat="1" applyBorder="1" applyAlignment="1">
      <alignment horizontal="center" vertical="center"/>
    </xf>
    <xf numFmtId="0" fontId="0" fillId="0" borderId="9" xfId="0" applyBorder="1" applyAlignment="1">
      <alignment horizontal="center" vertical="center"/>
    </xf>
    <xf numFmtId="164" fontId="0" fillId="0" borderId="10" xfId="0" applyNumberFormat="1" applyBorder="1" applyAlignment="1">
      <alignment horizontal="center" vertical="center"/>
    </xf>
    <xf numFmtId="14" fontId="0" fillId="0" borderId="0" xfId="0" applyNumberFormat="1"/>
    <xf numFmtId="0" fontId="2" fillId="0" borderId="0" xfId="0" applyFont="1"/>
    <xf numFmtId="0" fontId="3" fillId="3" borderId="0" xfId="0" applyFont="1" applyFill="1"/>
    <xf numFmtId="0" fontId="3" fillId="4" borderId="0" xfId="0" applyFont="1" applyFill="1" applyAlignment="1">
      <alignment horizontal="center"/>
    </xf>
    <xf numFmtId="0" fontId="0" fillId="0" borderId="0" xfId="0" pivotButton="1"/>
    <xf numFmtId="0" fontId="0" fillId="0" borderId="0" xfId="0" applyAlignment="1">
      <alignment horizontal="left"/>
    </xf>
    <xf numFmtId="164" fontId="0" fillId="0" borderId="0" xfId="0" applyNumberFormat="1"/>
    <xf numFmtId="10" fontId="0" fillId="0" borderId="0" xfId="0" applyNumberFormat="1"/>
    <xf numFmtId="0" fontId="0" fillId="0" borderId="0" xfId="0" applyAlignment="1">
      <alignment horizontal="center"/>
    </xf>
    <xf numFmtId="164" fontId="0" fillId="0" borderId="0" xfId="0" applyNumberFormat="1" applyAlignment="1">
      <alignment horizontal="center"/>
    </xf>
    <xf numFmtId="0" fontId="0" fillId="5" borderId="0" xfId="0" applyFill="1"/>
    <xf numFmtId="0" fontId="0" fillId="0" borderId="0" xfId="0" pivotButton="1" applyAlignment="1">
      <alignment horizontal="center"/>
    </xf>
    <xf numFmtId="164" fontId="0" fillId="0" borderId="0" xfId="0" applyNumberFormat="1" applyAlignment="1">
      <alignment horizontal="center" vertical="center"/>
    </xf>
    <xf numFmtId="0" fontId="0" fillId="0" borderId="11" xfId="0" applyBorder="1" applyAlignment="1">
      <alignment horizontal="center" vertical="center"/>
    </xf>
    <xf numFmtId="0" fontId="0" fillId="0" borderId="4" xfId="0" applyBorder="1" applyAlignment="1">
      <alignment horizontal="center"/>
    </xf>
    <xf numFmtId="0" fontId="0" fillId="0" borderId="8" xfId="0" applyBorder="1" applyAlignment="1">
      <alignment horizontal="center"/>
    </xf>
    <xf numFmtId="0" fontId="4" fillId="6" borderId="0" xfId="0" applyFont="1" applyFill="1" applyAlignment="1">
      <alignment horizontal="center" vertical="center"/>
    </xf>
    <xf numFmtId="0" fontId="5" fillId="7" borderId="0" xfId="0" applyFont="1" applyFill="1" applyAlignment="1">
      <alignment horizontal="center" vertical="center"/>
    </xf>
    <xf numFmtId="0" fontId="6" fillId="5" borderId="0" xfId="0" applyFont="1" applyFill="1"/>
    <xf numFmtId="0" fontId="0" fillId="0" borderId="0" xfId="0" applyAlignment="1">
      <alignment horizontal="center" vertical="center"/>
    </xf>
    <xf numFmtId="0" fontId="0" fillId="8" borderId="0" xfId="0" applyFill="1"/>
    <xf numFmtId="9" fontId="9" fillId="0" borderId="0" xfId="2" applyFont="1"/>
    <xf numFmtId="44" fontId="0" fillId="0" borderId="0" xfId="0" applyNumberFormat="1"/>
    <xf numFmtId="0" fontId="10" fillId="0" borderId="0" xfId="0" applyFont="1"/>
    <xf numFmtId="165" fontId="0" fillId="0" borderId="0" xfId="0" applyNumberFormat="1"/>
    <xf numFmtId="166" fontId="0" fillId="0" borderId="0" xfId="0" applyNumberFormat="1"/>
    <xf numFmtId="0" fontId="0" fillId="0" borderId="0" xfId="0" applyAlignment="1">
      <alignment horizontal="left" indent="1"/>
    </xf>
    <xf numFmtId="0" fontId="0" fillId="0" borderId="0" xfId="0" applyAlignment="1">
      <alignment horizontal="left" indent="2"/>
    </xf>
    <xf numFmtId="0" fontId="1" fillId="2" borderId="1" xfId="1" applyFill="1" applyAlignment="1">
      <alignment horizontal="center" vertical="center"/>
    </xf>
    <xf numFmtId="0" fontId="7" fillId="8" borderId="0" xfId="0" applyFont="1" applyFill="1" applyAlignment="1">
      <alignment horizontal="center" vertical="center"/>
    </xf>
    <xf numFmtId="0" fontId="0" fillId="0" borderId="0" xfId="0" applyAlignment="1">
      <alignment horizontal="center" vertical="center"/>
    </xf>
    <xf numFmtId="0" fontId="3" fillId="0" borderId="0" xfId="0" applyFont="1" applyAlignment="1">
      <alignment horizontal="center"/>
    </xf>
    <xf numFmtId="0" fontId="0" fillId="0" borderId="0" xfId="0" applyAlignment="1">
      <alignment horizontal="center"/>
    </xf>
    <xf numFmtId="9" fontId="2" fillId="3" borderId="0" xfId="2" applyFont="1" applyFill="1" applyAlignment="1">
      <alignment horizontal="center" vertical="center"/>
    </xf>
    <xf numFmtId="0" fontId="2" fillId="3" borderId="0" xfId="0" applyFont="1" applyFill="1" applyAlignment="1">
      <alignment horizontal="center" vertical="center"/>
    </xf>
    <xf numFmtId="0" fontId="2" fillId="9" borderId="0" xfId="0" applyFont="1" applyFill="1" applyAlignment="1">
      <alignment horizontal="center" vertical="center"/>
    </xf>
    <xf numFmtId="0" fontId="0" fillId="10" borderId="0" xfId="0" applyFill="1"/>
    <xf numFmtId="0" fontId="0" fillId="0" borderId="0" xfId="0" applyNumberFormat="1"/>
  </cellXfs>
  <cellStyles count="3">
    <cellStyle name="Heading 2" xfId="1" builtinId="17"/>
    <cellStyle name="Normal" xfId="0" builtinId="0"/>
    <cellStyle name="Percent" xfId="2" builtinId="5"/>
  </cellStyles>
  <dxfs count="80">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66" formatCode="0_);\(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65" formatCode="_(&quot;$&quot;* #,##0_);_(&quot;$&quot;* \(#,##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4" formatCode="0.0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65" formatCode="_(&quot;$&quot;* #,##0_);_(&quot;$&quot;* \(#,##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65" formatCode="_(&quot;$&quot;* #,##0_);_(&quot;$&quot;* \(#,##0\);_(&quot;$&quot;* &quot;-&quot;??_);_(@_)"/>
    </dxf>
    <dxf>
      <numFmt numFmtId="19" formatCode="m/d/yyyy"/>
    </dxf>
    <dxf>
      <font>
        <b val="0"/>
        <i val="0"/>
        <strike val="0"/>
        <condense val="0"/>
        <extend val="0"/>
        <outline val="0"/>
        <shadow val="0"/>
        <u val="none"/>
        <vertAlign val="baseline"/>
        <sz val="11"/>
        <color theme="1"/>
        <name val="Calibri"/>
        <family val="2"/>
        <scheme val="minor"/>
      </font>
      <numFmt numFmtId="164" formatCode="&quot;$&quot;#,##0"/>
      <alignment horizontal="center" vertical="center" textRotation="0" wrapText="0" indent="0" justifyLastLine="0" shrinkToFit="0" readingOrder="0"/>
      <border diagonalUp="0" diagonalDown="0" outline="0">
        <left style="thin">
          <color indexed="64"/>
        </left>
        <right/>
        <top style="thin">
          <color indexed="64"/>
        </top>
        <bottom/>
      </border>
    </dxf>
    <dxf>
      <font>
        <b val="0"/>
        <i val="0"/>
        <strike val="0"/>
        <condense val="0"/>
        <extend val="0"/>
        <outline val="0"/>
        <shadow val="0"/>
        <u val="none"/>
        <vertAlign val="baseline"/>
        <sz val="11"/>
        <color theme="1"/>
        <name val="Calibri"/>
        <family val="2"/>
        <scheme val="minor"/>
      </font>
      <numFmt numFmtId="164" formatCode="&quot;$&quot;#,##0"/>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alibri"/>
        <family val="2"/>
        <scheme val="minor"/>
      </font>
      <numFmt numFmtId="19" formatCode="m/d/yyyy"/>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border outline="0">
        <bottom style="thin">
          <color indexed="64"/>
        </bottom>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bottom/>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bottom/>
      </bord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s>
  <tableStyles count="1" defaultTableStyle="TableStyleMedium2" defaultPivotStyle="PivotStyleLight16">
    <tableStyle name="Invisible" pivot="0" table="0" count="0" xr9:uid="{3067A77D-8AAA-498C-BBD6-E6586C22CF25}"/>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2.xml"/><Relationship Id="rId18" Type="http://schemas.openxmlformats.org/officeDocument/2006/relationships/pivotCacheDefinition" Target="pivotCache/pivotCacheDefinition5.xml"/><Relationship Id="rId26" Type="http://schemas.openxmlformats.org/officeDocument/2006/relationships/pivotCacheDefinition" Target="pivotCache/pivotCacheDefinition13.xml"/><Relationship Id="rId39" Type="http://schemas.microsoft.com/office/2007/relationships/slicerCache" Target="slicerCaches/slicerCache8.xml"/><Relationship Id="rId21" Type="http://schemas.openxmlformats.org/officeDocument/2006/relationships/pivotCacheDefinition" Target="pivotCache/pivotCacheDefinition8.xml"/><Relationship Id="rId34" Type="http://schemas.microsoft.com/office/2007/relationships/slicerCache" Target="slicerCaches/slicerCache3.xml"/><Relationship Id="rId42" Type="http://schemas.openxmlformats.org/officeDocument/2006/relationships/theme" Target="theme/theme1.xml"/><Relationship Id="rId47" Type="http://schemas.openxmlformats.org/officeDocument/2006/relationships/powerPivotData" Target="model/item.data"/><Relationship Id="rId7" Type="http://schemas.openxmlformats.org/officeDocument/2006/relationships/chartsheet" Target="chartsheets/sheet1.xml"/><Relationship Id="rId2" Type="http://schemas.openxmlformats.org/officeDocument/2006/relationships/worksheet" Target="worksheets/sheet2.xml"/><Relationship Id="rId16" Type="http://schemas.openxmlformats.org/officeDocument/2006/relationships/pivotCacheDefinition" Target="pivotCache/pivotCacheDefinition3.xml"/><Relationship Id="rId29" Type="http://schemas.openxmlformats.org/officeDocument/2006/relationships/pivotCacheDefinition" Target="pivotCache/pivotCacheDefinition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0.xml"/><Relationship Id="rId24" Type="http://schemas.openxmlformats.org/officeDocument/2006/relationships/pivotCacheDefinition" Target="pivotCache/pivotCacheDefinition11.xml"/><Relationship Id="rId32" Type="http://schemas.microsoft.com/office/2007/relationships/slicerCache" Target="slicerCaches/slicerCache1.xml"/><Relationship Id="rId37" Type="http://schemas.microsoft.com/office/2007/relationships/slicerCache" Target="slicerCaches/slicerCache6.xml"/><Relationship Id="rId40" Type="http://schemas.microsoft.com/office/2007/relationships/slicerCache" Target="slicerCaches/slicerCache9.xml"/><Relationship Id="rId45"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pivotCacheDefinition" Target="pivotCache/pivotCacheDefinition2.xml"/><Relationship Id="rId23" Type="http://schemas.openxmlformats.org/officeDocument/2006/relationships/pivotCacheDefinition" Target="pivotCache/pivotCacheDefinition10.xml"/><Relationship Id="rId28" Type="http://schemas.openxmlformats.org/officeDocument/2006/relationships/pivotCacheDefinition" Target="pivotCache/pivotCacheDefinition15.xml"/><Relationship Id="rId36" Type="http://schemas.microsoft.com/office/2007/relationships/slicerCache" Target="slicerCaches/slicerCache5.xml"/><Relationship Id="rId10" Type="http://schemas.openxmlformats.org/officeDocument/2006/relationships/worksheet" Target="worksheets/sheet9.xml"/><Relationship Id="rId19" Type="http://schemas.openxmlformats.org/officeDocument/2006/relationships/pivotCacheDefinition" Target="pivotCache/pivotCacheDefinition6.xml"/><Relationship Id="rId31" Type="http://schemas.openxmlformats.org/officeDocument/2006/relationships/pivotCacheDefinition" Target="pivotCache/pivotCacheDefinition18.xml"/><Relationship Id="rId44"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8.xml"/><Relationship Id="rId14" Type="http://schemas.openxmlformats.org/officeDocument/2006/relationships/pivotCacheDefinition" Target="pivotCache/pivotCacheDefinition1.xml"/><Relationship Id="rId22" Type="http://schemas.openxmlformats.org/officeDocument/2006/relationships/pivotCacheDefinition" Target="pivotCache/pivotCacheDefinition9.xml"/><Relationship Id="rId27" Type="http://schemas.openxmlformats.org/officeDocument/2006/relationships/pivotCacheDefinition" Target="pivotCache/pivotCacheDefinition14.xml"/><Relationship Id="rId30" Type="http://schemas.openxmlformats.org/officeDocument/2006/relationships/pivotCacheDefinition" Target="pivotCache/pivotCacheDefinition17.xml"/><Relationship Id="rId35" Type="http://schemas.microsoft.com/office/2007/relationships/slicerCache" Target="slicerCaches/slicerCache4.xml"/><Relationship Id="rId43" Type="http://schemas.openxmlformats.org/officeDocument/2006/relationships/connections" Target="connections.xml"/><Relationship Id="rId48" Type="http://schemas.openxmlformats.org/officeDocument/2006/relationships/calcChain" Target="calcChain.xml"/><Relationship Id="rId8" Type="http://schemas.openxmlformats.org/officeDocument/2006/relationships/worksheet" Target="worksheets/sheet7.xml"/><Relationship Id="rId3" Type="http://schemas.openxmlformats.org/officeDocument/2006/relationships/worksheet" Target="worksheets/sheet3.xml"/><Relationship Id="rId12" Type="http://schemas.openxmlformats.org/officeDocument/2006/relationships/worksheet" Target="worksheets/sheet11.xml"/><Relationship Id="rId17" Type="http://schemas.openxmlformats.org/officeDocument/2006/relationships/pivotCacheDefinition" Target="pivotCache/pivotCacheDefinition4.xml"/><Relationship Id="rId25" Type="http://schemas.openxmlformats.org/officeDocument/2006/relationships/pivotCacheDefinition" Target="pivotCache/pivotCacheDefinition12.xml"/><Relationship Id="rId33" Type="http://schemas.microsoft.com/office/2007/relationships/slicerCache" Target="slicerCaches/slicerCache2.xml"/><Relationship Id="rId38" Type="http://schemas.microsoft.com/office/2007/relationships/slicerCache" Target="slicerCaches/slicerCache7.xml"/><Relationship Id="rId46" Type="http://schemas.openxmlformats.org/officeDocument/2006/relationships/sheetMetadata" Target="metadata.xml"/><Relationship Id="rId20" Type="http://schemas.openxmlformats.org/officeDocument/2006/relationships/pivotCacheDefinition" Target="pivotCache/pivotCacheDefinition7.xml"/><Relationship Id="rId41" Type="http://schemas.microsoft.com/office/2007/relationships/slicerCache" Target="slicerCaches/slicerCache10.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4.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5.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6.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7.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8.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9.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[Dashboard.xlsx]Sheet3!No of Sales for each region</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Sheet3!$I$4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0FD-4355-A5F1-E8BDDD94D60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0FD-4355-A5F1-E8BDDD94D60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0FD-4355-A5F1-E8BDDD94D60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0FD-4355-A5F1-E8BDDD94D60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Sheet3!$H$5:$H$9</c:f>
              <c:strCache>
                <c:ptCount val="4"/>
                <c:pt idx="0">
                  <c:v>East</c:v>
                </c:pt>
                <c:pt idx="1">
                  <c:v>North</c:v>
                </c:pt>
                <c:pt idx="2">
                  <c:v>South</c:v>
                </c:pt>
                <c:pt idx="3">
                  <c:v>West</c:v>
                </c:pt>
              </c:strCache>
            </c:strRef>
          </c:cat>
          <c:val>
            <c:numRef>
              <c:f>Sheet3!$I$5:$I$9</c:f>
              <c:numCache>
                <c:formatCode>General</c:formatCode>
                <c:ptCount val="4"/>
                <c:pt idx="0">
                  <c:v>30</c:v>
                </c:pt>
                <c:pt idx="1">
                  <c:v>60</c:v>
                </c:pt>
                <c:pt idx="2">
                  <c:v>93</c:v>
                </c:pt>
                <c:pt idx="3">
                  <c:v>31</c:v>
                </c:pt>
              </c:numCache>
            </c:numRef>
          </c:val>
          <c:extLst>
            <c:ext xmlns:c16="http://schemas.microsoft.com/office/drawing/2014/chart" uri="{C3380CC4-5D6E-409C-BE32-E72D297353CC}">
              <c16:uniqueId val="{00000008-20FD-4355-A5F1-E8BDDD94D604}"/>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[Dashboard.xlsx]Sheet3!Total sales for country</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Sheet3!$B$19</c:f>
              <c:strCache>
                <c:ptCount val="1"/>
                <c:pt idx="0">
                  <c:v>Total</c:v>
                </c:pt>
              </c:strCache>
            </c:strRef>
          </c:tx>
          <c:spPr>
            <a:solidFill>
              <a:schemeClr val="accent1"/>
            </a:solidFill>
            <a:ln>
              <a:noFill/>
            </a:ln>
            <a:effectLst/>
          </c:spPr>
          <c:invertIfNegative val="0"/>
          <c:cat>
            <c:strRef>
              <c:f>Sheet3!$A$20:$A$28</c:f>
              <c:strCache>
                <c:ptCount val="8"/>
                <c:pt idx="0">
                  <c:v>Australia</c:v>
                </c:pt>
                <c:pt idx="1">
                  <c:v>Canada</c:v>
                </c:pt>
                <c:pt idx="2">
                  <c:v>EGY</c:v>
                </c:pt>
                <c:pt idx="3">
                  <c:v>France</c:v>
                </c:pt>
                <c:pt idx="4">
                  <c:v>Germany</c:v>
                </c:pt>
                <c:pt idx="5">
                  <c:v>New Zealand</c:v>
                </c:pt>
                <c:pt idx="6">
                  <c:v>UK</c:v>
                </c:pt>
                <c:pt idx="7">
                  <c:v>US</c:v>
                </c:pt>
              </c:strCache>
            </c:strRef>
          </c:cat>
          <c:val>
            <c:numRef>
              <c:f>Sheet3!$B$20:$B$28</c:f>
              <c:numCache>
                <c:formatCode>_("$"* #,##0_);_("$"* \(#,##0\);_("$"* "-"??_);_(@_)</c:formatCode>
                <c:ptCount val="8"/>
                <c:pt idx="0">
                  <c:v>131713</c:v>
                </c:pt>
                <c:pt idx="1">
                  <c:v>94745</c:v>
                </c:pt>
                <c:pt idx="2">
                  <c:v>5000</c:v>
                </c:pt>
                <c:pt idx="3">
                  <c:v>141056</c:v>
                </c:pt>
                <c:pt idx="4">
                  <c:v>155168</c:v>
                </c:pt>
                <c:pt idx="5">
                  <c:v>66782</c:v>
                </c:pt>
                <c:pt idx="6">
                  <c:v>173137</c:v>
                </c:pt>
                <c:pt idx="7">
                  <c:v>267133</c:v>
                </c:pt>
              </c:numCache>
            </c:numRef>
          </c:val>
          <c:extLst>
            <c:ext xmlns:c16="http://schemas.microsoft.com/office/drawing/2014/chart" uri="{C3380CC4-5D6E-409C-BE32-E72D297353CC}">
              <c16:uniqueId val="{00000000-65E6-49D9-B9FE-6256F5D22646}"/>
            </c:ext>
          </c:extLst>
        </c:ser>
        <c:dLbls>
          <c:showLegendKey val="0"/>
          <c:showVal val="0"/>
          <c:showCatName val="0"/>
          <c:showSerName val="0"/>
          <c:showPercent val="0"/>
          <c:showBubbleSize val="0"/>
        </c:dLbls>
        <c:gapWidth val="219"/>
        <c:overlap val="-27"/>
        <c:axId val="936520352"/>
        <c:axId val="936523264"/>
      </c:barChart>
      <c:catAx>
        <c:axId val="936520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6523264"/>
        <c:crosses val="autoZero"/>
        <c:auto val="1"/>
        <c:lblAlgn val="ctr"/>
        <c:lblOffset val="100"/>
        <c:noMultiLvlLbl val="0"/>
      </c:catAx>
      <c:valAx>
        <c:axId val="936523264"/>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65203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[Dashboard.xlsx]Sheet3!Quarter</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37360103329639"/>
          <c:y val="0.1899968018303371"/>
          <c:w val="0.78645670067600193"/>
          <c:h val="0.76704316914012294"/>
        </c:manualLayout>
      </c:layout>
      <c:barChart>
        <c:barDir val="bar"/>
        <c:grouping val="clustered"/>
        <c:varyColors val="0"/>
        <c:ser>
          <c:idx val="0"/>
          <c:order val="0"/>
          <c:tx>
            <c:strRef>
              <c:f>Sheet3!$L$14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Sheet3!$K$15:$K$19</c:f>
              <c:strCache>
                <c:ptCount val="4"/>
                <c:pt idx="0">
                  <c:v>Q1</c:v>
                </c:pt>
                <c:pt idx="1">
                  <c:v>Q2</c:v>
                </c:pt>
                <c:pt idx="2">
                  <c:v>Q3</c:v>
                </c:pt>
                <c:pt idx="3">
                  <c:v>Q4</c:v>
                </c:pt>
              </c:strCache>
            </c:strRef>
          </c:cat>
          <c:val>
            <c:numRef>
              <c:f>Sheet3!$L$15:$L$19</c:f>
              <c:numCache>
                <c:formatCode>_("$"* #,##0.00_);_("$"* \(#,##0.00\);_("$"* "-"??_);_(@_)</c:formatCode>
                <c:ptCount val="4"/>
                <c:pt idx="0">
                  <c:v>416689</c:v>
                </c:pt>
                <c:pt idx="1">
                  <c:v>185089</c:v>
                </c:pt>
                <c:pt idx="2">
                  <c:v>342341</c:v>
                </c:pt>
                <c:pt idx="3">
                  <c:v>90615</c:v>
                </c:pt>
              </c:numCache>
            </c:numRef>
          </c:val>
          <c:extLst>
            <c:ext xmlns:c16="http://schemas.microsoft.com/office/drawing/2014/chart" uri="{C3380CC4-5D6E-409C-BE32-E72D297353CC}">
              <c16:uniqueId val="{00000000-4E98-415A-B26F-53330D2D7296}"/>
            </c:ext>
          </c:extLst>
        </c:ser>
        <c:dLbls>
          <c:dLblPos val="outEnd"/>
          <c:showLegendKey val="0"/>
          <c:showVal val="1"/>
          <c:showCatName val="0"/>
          <c:showSerName val="0"/>
          <c:showPercent val="0"/>
          <c:showBubbleSize val="0"/>
        </c:dLbls>
        <c:gapWidth val="182"/>
        <c:axId val="354604624"/>
        <c:axId val="362311168"/>
      </c:barChart>
      <c:catAx>
        <c:axId val="354604624"/>
        <c:scaling>
          <c:orientation val="minMax"/>
        </c:scaling>
        <c:delete val="1"/>
        <c:axPos val="l"/>
        <c:numFmt formatCode="General" sourceLinked="1"/>
        <c:majorTickMark val="none"/>
        <c:minorTickMark val="none"/>
        <c:tickLblPos val="nextTo"/>
        <c:crossAx val="362311168"/>
        <c:crosses val="autoZero"/>
        <c:auto val="1"/>
        <c:lblAlgn val="ctr"/>
        <c:lblOffset val="100"/>
        <c:noMultiLvlLbl val="0"/>
      </c:catAx>
      <c:valAx>
        <c:axId val="362311168"/>
        <c:scaling>
          <c:orientation val="minMax"/>
        </c:scaling>
        <c:delete val="1"/>
        <c:axPos val="b"/>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crossAx val="3546046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[Dashboard.xlsx]Sheet3!Total sales over months</c:name>
    <c:fmtId val="3"/>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6350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63500" cap="rnd">
            <a:solidFill>
              <a:schemeClr val="accent1"/>
            </a:solidFill>
            <a:round/>
          </a:ln>
          <a:effectLst/>
        </c:spPr>
        <c:marker>
          <c:symbol val="none"/>
        </c:marker>
      </c:pivotFmt>
    </c:pivotFmts>
    <c:plotArea>
      <c:layout/>
      <c:lineChart>
        <c:grouping val="standard"/>
        <c:varyColors val="0"/>
        <c:ser>
          <c:idx val="0"/>
          <c:order val="0"/>
          <c:tx>
            <c:strRef>
              <c:f>Sheet3!$H$32</c:f>
              <c:strCache>
                <c:ptCount val="1"/>
                <c:pt idx="0">
                  <c:v>Total</c:v>
                </c:pt>
              </c:strCache>
            </c:strRef>
          </c:tx>
          <c:spPr>
            <a:ln w="63500"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Sheet3!$G$33:$G$46</c:f>
              <c:strCache>
                <c:ptCount val="13"/>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pt idx="12">
                  <c:v>Sept ember</c:v>
                </c:pt>
              </c:strCache>
            </c:strRef>
          </c:cat>
          <c:val>
            <c:numRef>
              <c:f>Sheet3!$H$33:$H$46</c:f>
              <c:numCache>
                <c:formatCode>_("$"* #,##0.00_);_("$"* \(#,##0.00\);_("$"* "-"??_);_(@_)</c:formatCode>
                <c:ptCount val="13"/>
                <c:pt idx="0">
                  <c:v>129501</c:v>
                </c:pt>
                <c:pt idx="1">
                  <c:v>69826</c:v>
                </c:pt>
                <c:pt idx="2">
                  <c:v>79722</c:v>
                </c:pt>
                <c:pt idx="3">
                  <c:v>132640</c:v>
                </c:pt>
                <c:pt idx="4">
                  <c:v>112298</c:v>
                </c:pt>
                <c:pt idx="5">
                  <c:v>72791</c:v>
                </c:pt>
                <c:pt idx="6">
                  <c:v>69701</c:v>
                </c:pt>
                <c:pt idx="7">
                  <c:v>112077</c:v>
                </c:pt>
                <c:pt idx="8">
                  <c:v>151549</c:v>
                </c:pt>
                <c:pt idx="9">
                  <c:v>67764</c:v>
                </c:pt>
                <c:pt idx="10">
                  <c:v>21005</c:v>
                </c:pt>
                <c:pt idx="11">
                  <c:v>6846</c:v>
                </c:pt>
                <c:pt idx="12">
                  <c:v>9014</c:v>
                </c:pt>
              </c:numCache>
            </c:numRef>
          </c:val>
          <c:smooth val="1"/>
          <c:extLst>
            <c:ext xmlns:c16="http://schemas.microsoft.com/office/drawing/2014/chart" uri="{C3380CC4-5D6E-409C-BE32-E72D297353CC}">
              <c16:uniqueId val="{00000000-10A8-4ED4-956F-8C1B3F6D36C9}"/>
            </c:ext>
          </c:extLst>
        </c:ser>
        <c:dLbls>
          <c:dLblPos val="t"/>
          <c:showLegendKey val="0"/>
          <c:showVal val="1"/>
          <c:showCatName val="0"/>
          <c:showSerName val="0"/>
          <c:showPercent val="0"/>
          <c:showBubbleSize val="0"/>
        </c:dLbls>
        <c:smooth val="0"/>
        <c:axId val="361843120"/>
        <c:axId val="361843536"/>
      </c:lineChart>
      <c:catAx>
        <c:axId val="361843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1843536"/>
        <c:crosses val="autoZero"/>
        <c:auto val="1"/>
        <c:lblAlgn val="ctr"/>
        <c:lblOffset val="100"/>
        <c:noMultiLvlLbl val="0"/>
      </c:catAx>
      <c:valAx>
        <c:axId val="361843536"/>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18431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[Dashboard.xlsx]Sheet3!% of SALES FOR category</c:name>
    <c:fmtId val="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Sheet3!$H$20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C24-41DE-8AD7-A67184B59E7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C24-41DE-8AD7-A67184B59E7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Sheet3!$G$21:$G$23</c:f>
              <c:strCache>
                <c:ptCount val="2"/>
                <c:pt idx="0">
                  <c:v>Fruit</c:v>
                </c:pt>
                <c:pt idx="1">
                  <c:v>Vegetables</c:v>
                </c:pt>
              </c:strCache>
            </c:strRef>
          </c:cat>
          <c:val>
            <c:numRef>
              <c:f>Sheet3!$H$21:$H$23</c:f>
              <c:numCache>
                <c:formatCode>0.00%</c:formatCode>
                <c:ptCount val="2"/>
                <c:pt idx="0">
                  <c:v>0.67463618669145886</c:v>
                </c:pt>
                <c:pt idx="1">
                  <c:v>0.32536381330854114</c:v>
                </c:pt>
              </c:numCache>
            </c:numRef>
          </c:val>
          <c:extLst>
            <c:ext xmlns:c16="http://schemas.microsoft.com/office/drawing/2014/chart" uri="{C3380CC4-5D6E-409C-BE32-E72D297353CC}">
              <c16:uniqueId val="{00000004-0C24-41DE-8AD7-A67184B59E70}"/>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ofPieChart>
        <c:ofPieType val="pie"/>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EB4-451D-A0EA-29C4364726D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EB4-451D-A0EA-29C4364726D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EB4-451D-A0EA-29C4364726D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EB4-451D-A0EA-29C4364726D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0EB4-451D-A0EA-29C4364726D2}"/>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0EB4-451D-A0EA-29C4364726D2}"/>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0EB4-451D-A0EA-29C4364726D2}"/>
              </c:ext>
            </c:extLst>
          </c:dPt>
          <c:dPt>
            <c:idx val="7"/>
            <c:bubble3D val="0"/>
            <c:explosion val="16"/>
            <c:spPr>
              <a:solidFill>
                <a:schemeClr val="accent2">
                  <a:lumMod val="60000"/>
                </a:schemeClr>
              </a:solidFill>
              <a:ln w="19050">
                <a:solidFill>
                  <a:schemeClr val="lt1"/>
                </a:solidFill>
              </a:ln>
              <a:effectLst/>
            </c:spPr>
            <c:extLst>
              <c:ext xmlns:c16="http://schemas.microsoft.com/office/drawing/2014/chart" uri="{C3380CC4-5D6E-409C-BE32-E72D297353CC}">
                <c16:uniqueId val="{00000001-43B3-4747-9B9E-575D496DE394}"/>
              </c:ext>
            </c:extLst>
          </c:dPt>
          <c:dLbls>
            <c:dLbl>
              <c:idx val="7"/>
              <c:tx>
                <c:rich>
                  <a:bodyPr/>
                  <a:lstStyle/>
                  <a:p>
                    <a:r>
                      <a:rPr lang="en-US">
                        <a:solidFill>
                          <a:schemeClr val="bg1"/>
                        </a:solidFill>
                      </a:rPr>
                      <a:t>hello</a:t>
                    </a:r>
                    <a:r>
                      <a:rPr lang="en-US" baseline="0">
                        <a:solidFill>
                          <a:schemeClr val="bg1"/>
                        </a:solidFill>
                      </a:rPr>
                      <a:t>, </a:t>
                    </a:r>
                    <a:fld id="{1D63AD48-5F15-41F6-BA62-11984349C1A4}" type="VALUE">
                      <a:rPr lang="en-US" baseline="0">
                        <a:solidFill>
                          <a:schemeClr val="bg1"/>
                        </a:solidFill>
                      </a:rPr>
                      <a:pPr/>
                      <a:t>[VALUE]</a:t>
                    </a:fld>
                    <a:endParaRPr lang="en-US" baseline="0">
                      <a:solidFill>
                        <a:schemeClr val="bg1"/>
                      </a:solidFill>
                    </a:endParaRPr>
                  </a:p>
                </c:rich>
              </c:tx>
              <c:dLblPos val="bestFit"/>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43B3-4747-9B9E-575D496DE39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Sheet1!$F$4:$F$10</c:f>
              <c:strCache>
                <c:ptCount val="7"/>
                <c:pt idx="0">
                  <c:v>Apple</c:v>
                </c:pt>
                <c:pt idx="1">
                  <c:v>Banana</c:v>
                </c:pt>
                <c:pt idx="2">
                  <c:v>Beans</c:v>
                </c:pt>
                <c:pt idx="3">
                  <c:v>Broccoli</c:v>
                </c:pt>
                <c:pt idx="4">
                  <c:v>Carrots</c:v>
                </c:pt>
                <c:pt idx="5">
                  <c:v>Mango</c:v>
                </c:pt>
                <c:pt idx="6">
                  <c:v>Orange</c:v>
                </c:pt>
              </c:strCache>
            </c:strRef>
          </c:cat>
          <c:val>
            <c:numRef>
              <c:f>Sheet1!$G$4:$G$10</c:f>
              <c:numCache>
                <c:formatCode>General</c:formatCode>
                <c:ptCount val="7"/>
                <c:pt idx="0">
                  <c:v>191257</c:v>
                </c:pt>
                <c:pt idx="1">
                  <c:v>345295</c:v>
                </c:pt>
                <c:pt idx="2">
                  <c:v>57281</c:v>
                </c:pt>
                <c:pt idx="3">
                  <c:v>142439</c:v>
                </c:pt>
                <c:pt idx="4">
                  <c:v>136945</c:v>
                </c:pt>
                <c:pt idx="5">
                  <c:v>57079</c:v>
                </c:pt>
                <c:pt idx="6">
                  <c:v>104438</c:v>
                </c:pt>
              </c:numCache>
            </c:numRef>
          </c:val>
          <c:extLst>
            <c:ext xmlns:c16="http://schemas.microsoft.com/office/drawing/2014/chart" uri="{C3380CC4-5D6E-409C-BE32-E72D297353CC}">
              <c16:uniqueId val="{00000000-43B3-4747-9B9E-575D496DE394}"/>
            </c:ext>
          </c:extLst>
        </c:ser>
        <c:dLbls>
          <c:dLblPos val="bestFit"/>
          <c:showLegendKey val="0"/>
          <c:showVal val="1"/>
          <c:showCatName val="0"/>
          <c:showSerName val="0"/>
          <c:showPercent val="0"/>
          <c:showBubbleSize val="0"/>
          <c:showLeaderLines val="1"/>
        </c:dLbls>
        <c:gapWidth val="150"/>
        <c:secondPieSize val="75"/>
        <c:serLines>
          <c:spPr>
            <a:ln w="9525" cap="flat" cmpd="sng" algn="ctr">
              <a:solidFill>
                <a:schemeClr val="tx1">
                  <a:lumMod val="35000"/>
                  <a:lumOff val="65000"/>
                </a:schemeClr>
              </a:solidFill>
              <a:round/>
            </a:ln>
            <a:effectLst/>
          </c:spPr>
        </c:serLines>
      </c:of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[Dashboard.xlsx]PV!Region</c:name>
    <c:fmtId val="3"/>
  </c:pivotSource>
  <c:chart>
    <c:title>
      <c:layout>
        <c:manualLayout>
          <c:xMode val="edge"/>
          <c:yMode val="edge"/>
          <c:x val="0.87090395480226002"/>
          <c:y val="0.8739792942548848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numFmt formatCode="General" sourceLinked="0"/>
          <c:spPr>
            <a:solidFill>
              <a:schemeClr val="bg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manualLayout>
          <c:layoutTarget val="inner"/>
          <c:xMode val="edge"/>
          <c:yMode val="edge"/>
          <c:x val="0.28409026202233195"/>
          <c:y val="0.14121609798775153"/>
          <c:w val="0.4628931447128431"/>
          <c:h val="0.75863043161271504"/>
        </c:manualLayout>
      </c:layout>
      <c:pieChart>
        <c:varyColors val="1"/>
        <c:ser>
          <c:idx val="0"/>
          <c:order val="0"/>
          <c:tx>
            <c:strRef>
              <c:f>PV!$I$3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9DD-40C2-BDC9-DE081D956CA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9DD-40C2-BDC9-DE081D956CA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9DD-40C2-BDC9-DE081D956CA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9DD-40C2-BDC9-DE081D956CA8}"/>
              </c:ext>
            </c:extLst>
          </c:dPt>
          <c:dLbls>
            <c:numFmt formatCode="General" sourceLinked="0"/>
            <c:spPr>
              <a:solidFill>
                <a:schemeClr val="bg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PV!$H$4:$H$8</c:f>
              <c:strCache>
                <c:ptCount val="4"/>
                <c:pt idx="0">
                  <c:v>East</c:v>
                </c:pt>
                <c:pt idx="1">
                  <c:v>North</c:v>
                </c:pt>
                <c:pt idx="2">
                  <c:v>South</c:v>
                </c:pt>
                <c:pt idx="3">
                  <c:v>West</c:v>
                </c:pt>
              </c:strCache>
            </c:strRef>
          </c:cat>
          <c:val>
            <c:numRef>
              <c:f>PV!$I$4:$I$8</c:f>
              <c:numCache>
                <c:formatCode>"$"#,##0</c:formatCode>
                <c:ptCount val="4"/>
                <c:pt idx="0">
                  <c:v>28873</c:v>
                </c:pt>
                <c:pt idx="1">
                  <c:v>38437</c:v>
                </c:pt>
                <c:pt idx="2">
                  <c:v>75612</c:v>
                </c:pt>
                <c:pt idx="3">
                  <c:v>12246</c:v>
                </c:pt>
              </c:numCache>
            </c:numRef>
          </c:val>
          <c:extLst>
            <c:ext xmlns:c16="http://schemas.microsoft.com/office/drawing/2014/chart" uri="{C3380CC4-5D6E-409C-BE32-E72D297353CC}">
              <c16:uniqueId val="{00000008-19DD-40C2-BDC9-DE081D956CA8}"/>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[Dashboard.xlsx]PV!T Pro</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PV!$F$3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PV!$E$4:$E$11</c:f>
              <c:strCache>
                <c:ptCount val="7"/>
                <c:pt idx="0">
                  <c:v>Apple</c:v>
                </c:pt>
                <c:pt idx="1">
                  <c:v>Banana</c:v>
                </c:pt>
                <c:pt idx="2">
                  <c:v>Beans</c:v>
                </c:pt>
                <c:pt idx="3">
                  <c:v>Broccoli</c:v>
                </c:pt>
                <c:pt idx="4">
                  <c:v>Carrots</c:v>
                </c:pt>
                <c:pt idx="5">
                  <c:v>Mango</c:v>
                </c:pt>
                <c:pt idx="6">
                  <c:v>Orange</c:v>
                </c:pt>
              </c:strCache>
            </c:strRef>
          </c:cat>
          <c:val>
            <c:numRef>
              <c:f>PV!$F$4:$F$11</c:f>
              <c:numCache>
                <c:formatCode>"$"#,##0</c:formatCode>
                <c:ptCount val="7"/>
                <c:pt idx="0">
                  <c:v>9082</c:v>
                </c:pt>
                <c:pt idx="1">
                  <c:v>39686</c:v>
                </c:pt>
                <c:pt idx="2">
                  <c:v>29905</c:v>
                </c:pt>
                <c:pt idx="3">
                  <c:v>37197</c:v>
                </c:pt>
                <c:pt idx="4">
                  <c:v>21636</c:v>
                </c:pt>
                <c:pt idx="5">
                  <c:v>8775</c:v>
                </c:pt>
                <c:pt idx="6">
                  <c:v>8887</c:v>
                </c:pt>
              </c:numCache>
            </c:numRef>
          </c:val>
          <c:extLst>
            <c:ext xmlns:c16="http://schemas.microsoft.com/office/drawing/2014/chart" uri="{C3380CC4-5D6E-409C-BE32-E72D297353CC}">
              <c16:uniqueId val="{00000000-00C3-43AD-8260-9DE846434310}"/>
            </c:ext>
          </c:extLst>
        </c:ser>
        <c:dLbls>
          <c:dLblPos val="outEnd"/>
          <c:showLegendKey val="0"/>
          <c:showVal val="1"/>
          <c:showCatName val="0"/>
          <c:showSerName val="0"/>
          <c:showPercent val="0"/>
          <c:showBubbleSize val="0"/>
        </c:dLbls>
        <c:gapWidth val="219"/>
        <c:overlap val="-27"/>
        <c:axId val="54469792"/>
        <c:axId val="54470272"/>
      </c:barChart>
      <c:catAx>
        <c:axId val="54469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470272"/>
        <c:crosses val="autoZero"/>
        <c:auto val="1"/>
        <c:lblAlgn val="ctr"/>
        <c:lblOffset val="100"/>
        <c:noMultiLvlLbl val="0"/>
      </c:catAx>
      <c:valAx>
        <c:axId val="54470272"/>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4697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[Dashboard.xlsx]PV!country by region</c:name>
    <c:fmtId val="20"/>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FF0000"/>
            </a:solidFill>
            <a:prstDash val="dash"/>
            <a:round/>
          </a:ln>
          <a:effectLst/>
        </c:spPr>
        <c:marker>
          <c:symbol val="none"/>
        </c:marker>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FF0000"/>
            </a:solidFill>
            <a:prstDash val="dash"/>
            <a:round/>
          </a:ln>
          <a:effectLst/>
        </c:spPr>
        <c:marker>
          <c:symbol val="none"/>
        </c:marker>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rgbClr val="FF0000"/>
            </a:solidFill>
            <a:prstDash val="dash"/>
            <a:round/>
          </a:ln>
          <a:effectLst/>
        </c:spPr>
        <c:marker>
          <c:symbol val="none"/>
        </c:marker>
      </c:pivotFmt>
    </c:pivotFmts>
    <c:plotArea>
      <c:layout/>
      <c:lineChart>
        <c:grouping val="standard"/>
        <c:varyColors val="0"/>
        <c:ser>
          <c:idx val="0"/>
          <c:order val="0"/>
          <c:tx>
            <c:strRef>
              <c:f>PV!$I$14:$I$15</c:f>
              <c:strCache>
                <c:ptCount val="1"/>
                <c:pt idx="0">
                  <c:v>Fruit</c:v>
                </c:pt>
              </c:strCache>
            </c:strRef>
          </c:tx>
          <c:spPr>
            <a:ln w="28575" cap="rnd">
              <a:solidFill>
                <a:schemeClr val="accent1"/>
              </a:solidFill>
              <a:round/>
            </a:ln>
            <a:effectLst/>
          </c:spPr>
          <c:marker>
            <c:symbol val="none"/>
          </c:marker>
          <c:cat>
            <c:strRef>
              <c:f>PV!$H$16:$H$17</c:f>
              <c:strCache>
                <c:ptCount val="1"/>
                <c:pt idx="0">
                  <c:v>Germany</c:v>
                </c:pt>
              </c:strCache>
            </c:strRef>
          </c:cat>
          <c:val>
            <c:numRef>
              <c:f>PV!$I$16:$I$17</c:f>
              <c:numCache>
                <c:formatCode>"$"#,##0</c:formatCode>
                <c:ptCount val="1"/>
                <c:pt idx="0">
                  <c:v>66430</c:v>
                </c:pt>
              </c:numCache>
            </c:numRef>
          </c:val>
          <c:smooth val="1"/>
          <c:extLst>
            <c:ext xmlns:c16="http://schemas.microsoft.com/office/drawing/2014/chart" uri="{C3380CC4-5D6E-409C-BE32-E72D297353CC}">
              <c16:uniqueId val="{00000000-5A96-4F98-8206-E37C3E010F8C}"/>
            </c:ext>
          </c:extLst>
        </c:ser>
        <c:ser>
          <c:idx val="1"/>
          <c:order val="1"/>
          <c:tx>
            <c:strRef>
              <c:f>PV!$J$14:$J$15</c:f>
              <c:strCache>
                <c:ptCount val="1"/>
                <c:pt idx="0">
                  <c:v>Vegetables</c:v>
                </c:pt>
              </c:strCache>
            </c:strRef>
          </c:tx>
          <c:spPr>
            <a:ln w="28575" cap="rnd">
              <a:solidFill>
                <a:schemeClr val="accent2"/>
              </a:solidFill>
              <a:round/>
            </a:ln>
            <a:effectLst/>
          </c:spPr>
          <c:marker>
            <c:symbol val="none"/>
          </c:marker>
          <c:cat>
            <c:strRef>
              <c:f>PV!$H$16:$H$17</c:f>
              <c:strCache>
                <c:ptCount val="1"/>
                <c:pt idx="0">
                  <c:v>Germany</c:v>
                </c:pt>
              </c:strCache>
            </c:strRef>
          </c:cat>
          <c:val>
            <c:numRef>
              <c:f>PV!$J$16:$J$17</c:f>
              <c:numCache>
                <c:formatCode>"$"#,##0</c:formatCode>
                <c:ptCount val="1"/>
                <c:pt idx="0">
                  <c:v>88738</c:v>
                </c:pt>
              </c:numCache>
            </c:numRef>
          </c:val>
          <c:smooth val="0"/>
          <c:extLst>
            <c:ext xmlns:c16="http://schemas.microsoft.com/office/drawing/2014/chart" uri="{C3380CC4-5D6E-409C-BE32-E72D297353CC}">
              <c16:uniqueId val="{00000008-6B67-4C5C-9BE9-96D4294C6440}"/>
            </c:ext>
          </c:extLst>
        </c:ser>
        <c:dLbls>
          <c:showLegendKey val="0"/>
          <c:showVal val="0"/>
          <c:showCatName val="0"/>
          <c:showSerName val="0"/>
          <c:showPercent val="0"/>
          <c:showBubbleSize val="0"/>
        </c:dLbls>
        <c:smooth val="0"/>
        <c:axId val="60083776"/>
        <c:axId val="60088576"/>
      </c:lineChart>
      <c:catAx>
        <c:axId val="60083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088576"/>
        <c:crosses val="autoZero"/>
        <c:auto val="1"/>
        <c:lblAlgn val="ctr"/>
        <c:lblOffset val="100"/>
        <c:noMultiLvlLbl val="0"/>
      </c:catAx>
      <c:valAx>
        <c:axId val="6008857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0837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[Dashboard.xlsx]PV!T Pro</c:name>
    <c:fmtId val="1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PV!$F$3</c:f>
              <c:strCache>
                <c:ptCount val="1"/>
                <c:pt idx="0">
                  <c:v>Total</c:v>
                </c:pt>
              </c:strCache>
            </c:strRef>
          </c:tx>
          <c:spPr>
            <a:solidFill>
              <a:schemeClr val="accent1"/>
            </a:solidFill>
            <a:ln>
              <a:noFill/>
            </a:ln>
            <a:effectLst/>
          </c:spPr>
          <c:invertIfNegative val="0"/>
          <c:cat>
            <c:strRef>
              <c:f>PV!$E$4:$E$11</c:f>
              <c:strCache>
                <c:ptCount val="7"/>
                <c:pt idx="0">
                  <c:v>Apple</c:v>
                </c:pt>
                <c:pt idx="1">
                  <c:v>Banana</c:v>
                </c:pt>
                <c:pt idx="2">
                  <c:v>Beans</c:v>
                </c:pt>
                <c:pt idx="3">
                  <c:v>Broccoli</c:v>
                </c:pt>
                <c:pt idx="4">
                  <c:v>Carrots</c:v>
                </c:pt>
                <c:pt idx="5">
                  <c:v>Mango</c:v>
                </c:pt>
                <c:pt idx="6">
                  <c:v>Orange</c:v>
                </c:pt>
              </c:strCache>
            </c:strRef>
          </c:cat>
          <c:val>
            <c:numRef>
              <c:f>PV!$F$4:$F$11</c:f>
              <c:numCache>
                <c:formatCode>"$"#,##0</c:formatCode>
                <c:ptCount val="7"/>
                <c:pt idx="0">
                  <c:v>9082</c:v>
                </c:pt>
                <c:pt idx="1">
                  <c:v>39686</c:v>
                </c:pt>
                <c:pt idx="2">
                  <c:v>29905</c:v>
                </c:pt>
                <c:pt idx="3">
                  <c:v>37197</c:v>
                </c:pt>
                <c:pt idx="4">
                  <c:v>21636</c:v>
                </c:pt>
                <c:pt idx="5">
                  <c:v>8775</c:v>
                </c:pt>
                <c:pt idx="6">
                  <c:v>8887</c:v>
                </c:pt>
              </c:numCache>
            </c:numRef>
          </c:val>
          <c:extLst>
            <c:ext xmlns:c16="http://schemas.microsoft.com/office/drawing/2014/chart" uri="{C3380CC4-5D6E-409C-BE32-E72D297353CC}">
              <c16:uniqueId val="{00000000-B1E0-4442-803D-6764ABF1D263}"/>
            </c:ext>
          </c:extLst>
        </c:ser>
        <c:dLbls>
          <c:showLegendKey val="0"/>
          <c:showVal val="0"/>
          <c:showCatName val="0"/>
          <c:showSerName val="0"/>
          <c:showPercent val="0"/>
          <c:showBubbleSize val="0"/>
        </c:dLbls>
        <c:gapWidth val="182"/>
        <c:axId val="1194371311"/>
        <c:axId val="1194372271"/>
      </c:barChart>
      <c:catAx>
        <c:axId val="11943713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4372271"/>
        <c:crosses val="autoZero"/>
        <c:auto val="1"/>
        <c:lblAlgn val="ctr"/>
        <c:lblOffset val="100"/>
        <c:noMultiLvlLbl val="0"/>
      </c:catAx>
      <c:valAx>
        <c:axId val="1194372271"/>
        <c:scaling>
          <c:orientation val="minMax"/>
        </c:scaling>
        <c:delete val="0"/>
        <c:axPos val="b"/>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43713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[Dashboard.xlsx]PV!Cat %</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doughnutChart>
        <c:varyColors val="1"/>
        <c:ser>
          <c:idx val="0"/>
          <c:order val="0"/>
          <c:tx>
            <c:strRef>
              <c:f>PV!$B$14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6A8-4311-ADE5-009B10806A2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6A8-4311-ADE5-009B10806A2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PV!$A$15:$A$17</c:f>
              <c:strCache>
                <c:ptCount val="2"/>
                <c:pt idx="0">
                  <c:v>Fruit</c:v>
                </c:pt>
                <c:pt idx="1">
                  <c:v>Vegetables</c:v>
                </c:pt>
              </c:strCache>
            </c:strRef>
          </c:cat>
          <c:val>
            <c:numRef>
              <c:f>PV!$B$15:$B$17</c:f>
              <c:numCache>
                <c:formatCode>0.00%</c:formatCode>
                <c:ptCount val="2"/>
                <c:pt idx="0">
                  <c:v>0.4281166219839142</c:v>
                </c:pt>
                <c:pt idx="1">
                  <c:v>0.5718833780160858</c:v>
                </c:pt>
              </c:numCache>
            </c:numRef>
          </c:val>
          <c:extLst>
            <c:ext xmlns:c16="http://schemas.microsoft.com/office/drawing/2014/chart" uri="{C3380CC4-5D6E-409C-BE32-E72D297353CC}">
              <c16:uniqueId val="{00000004-C6A8-4311-ADE5-009B10806A21}"/>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[Dashboard.xlsx]PV!t Month</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PV!$N$14</c:f>
              <c:strCache>
                <c:ptCount val="1"/>
                <c:pt idx="0">
                  <c:v>Total</c:v>
                </c:pt>
              </c:strCache>
            </c:strRef>
          </c:tx>
          <c:spPr>
            <a:solidFill>
              <a:schemeClr val="accent1"/>
            </a:solidFill>
            <a:ln>
              <a:noFill/>
            </a:ln>
            <a:effectLst/>
          </c:spPr>
          <c:cat>
            <c:strRef>
              <c:f>PV!$M$15:$M$26</c:f>
              <c:strCache>
                <c:ptCount val="11"/>
                <c:pt idx="0">
                  <c:v>January</c:v>
                </c:pt>
                <c:pt idx="1">
                  <c:v>February</c:v>
                </c:pt>
                <c:pt idx="2">
                  <c:v>March</c:v>
                </c:pt>
                <c:pt idx="3">
                  <c:v>April</c:v>
                </c:pt>
                <c:pt idx="4">
                  <c:v>May</c:v>
                </c:pt>
                <c:pt idx="5">
                  <c:v>June</c:v>
                </c:pt>
                <c:pt idx="6">
                  <c:v>July</c:v>
                </c:pt>
                <c:pt idx="7">
                  <c:v>August</c:v>
                </c:pt>
                <c:pt idx="8">
                  <c:v>September</c:v>
                </c:pt>
                <c:pt idx="9">
                  <c:v>October</c:v>
                </c:pt>
                <c:pt idx="10">
                  <c:v>November</c:v>
                </c:pt>
              </c:strCache>
            </c:strRef>
          </c:cat>
          <c:val>
            <c:numRef>
              <c:f>PV!$N$15:$N$26</c:f>
              <c:numCache>
                <c:formatCode>"$"#,##0</c:formatCode>
                <c:ptCount val="11"/>
                <c:pt idx="0">
                  <c:v>12703</c:v>
                </c:pt>
                <c:pt idx="1">
                  <c:v>12829</c:v>
                </c:pt>
                <c:pt idx="2">
                  <c:v>3263</c:v>
                </c:pt>
                <c:pt idx="3">
                  <c:v>29253</c:v>
                </c:pt>
                <c:pt idx="4">
                  <c:v>14645</c:v>
                </c:pt>
                <c:pt idx="5">
                  <c:v>7319</c:v>
                </c:pt>
                <c:pt idx="6">
                  <c:v>9777</c:v>
                </c:pt>
                <c:pt idx="7">
                  <c:v>27042</c:v>
                </c:pt>
                <c:pt idx="8">
                  <c:v>14666</c:v>
                </c:pt>
                <c:pt idx="9">
                  <c:v>21768</c:v>
                </c:pt>
                <c:pt idx="10">
                  <c:v>1903</c:v>
                </c:pt>
              </c:numCache>
            </c:numRef>
          </c:val>
          <c:extLst>
            <c:ext xmlns:c16="http://schemas.microsoft.com/office/drawing/2014/chart" uri="{C3380CC4-5D6E-409C-BE32-E72D297353CC}">
              <c16:uniqueId val="{00000000-4EE1-4021-8F35-82E99C5BF75B}"/>
            </c:ext>
          </c:extLst>
        </c:ser>
        <c:dLbls>
          <c:showLegendKey val="0"/>
          <c:showVal val="0"/>
          <c:showCatName val="0"/>
          <c:showSerName val="0"/>
          <c:showPercent val="0"/>
          <c:showBubbleSize val="0"/>
        </c:dLbls>
        <c:axId val="1189260703"/>
        <c:axId val="1189258783"/>
      </c:areaChart>
      <c:catAx>
        <c:axId val="118926070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9258783"/>
        <c:crosses val="autoZero"/>
        <c:auto val="1"/>
        <c:lblAlgn val="ctr"/>
        <c:lblOffset val="100"/>
        <c:noMultiLvlLbl val="0"/>
      </c:catAx>
      <c:valAx>
        <c:axId val="1189258783"/>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9260703"/>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[Dashboard.xlsx]PV!country by region</c:name>
    <c:fmtId val="1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PV!$I$14:$I$15</c:f>
              <c:strCache>
                <c:ptCount val="1"/>
                <c:pt idx="0">
                  <c:v>Fruit</c:v>
                </c:pt>
              </c:strCache>
            </c:strRef>
          </c:tx>
          <c:spPr>
            <a:solidFill>
              <a:schemeClr val="accent1"/>
            </a:solidFill>
            <a:ln>
              <a:noFill/>
            </a:ln>
            <a:effectLst/>
          </c:spPr>
          <c:invertIfNegative val="0"/>
          <c:cat>
            <c:strRef>
              <c:f>PV!$H$16:$H$17</c:f>
              <c:strCache>
                <c:ptCount val="1"/>
                <c:pt idx="0">
                  <c:v>Germany</c:v>
                </c:pt>
              </c:strCache>
            </c:strRef>
          </c:cat>
          <c:val>
            <c:numRef>
              <c:f>PV!$I$16:$I$17</c:f>
              <c:numCache>
                <c:formatCode>"$"#,##0</c:formatCode>
                <c:ptCount val="1"/>
                <c:pt idx="0">
                  <c:v>66430</c:v>
                </c:pt>
              </c:numCache>
            </c:numRef>
          </c:val>
          <c:extLst>
            <c:ext xmlns:c16="http://schemas.microsoft.com/office/drawing/2014/chart" uri="{C3380CC4-5D6E-409C-BE32-E72D297353CC}">
              <c16:uniqueId val="{00000000-0A01-4409-868D-C9D322540692}"/>
            </c:ext>
          </c:extLst>
        </c:ser>
        <c:ser>
          <c:idx val="1"/>
          <c:order val="1"/>
          <c:tx>
            <c:strRef>
              <c:f>PV!$J$14:$J$15</c:f>
              <c:strCache>
                <c:ptCount val="1"/>
                <c:pt idx="0">
                  <c:v>Vegetables</c:v>
                </c:pt>
              </c:strCache>
            </c:strRef>
          </c:tx>
          <c:spPr>
            <a:solidFill>
              <a:schemeClr val="accent2"/>
            </a:solidFill>
            <a:ln>
              <a:noFill/>
            </a:ln>
            <a:effectLst/>
          </c:spPr>
          <c:invertIfNegative val="0"/>
          <c:cat>
            <c:strRef>
              <c:f>PV!$H$16:$H$17</c:f>
              <c:strCache>
                <c:ptCount val="1"/>
                <c:pt idx="0">
                  <c:v>Germany</c:v>
                </c:pt>
              </c:strCache>
            </c:strRef>
          </c:cat>
          <c:val>
            <c:numRef>
              <c:f>PV!$J$16:$J$17</c:f>
              <c:numCache>
                <c:formatCode>"$"#,##0</c:formatCode>
                <c:ptCount val="1"/>
                <c:pt idx="0">
                  <c:v>88738</c:v>
                </c:pt>
              </c:numCache>
            </c:numRef>
          </c:val>
          <c:extLst>
            <c:ext xmlns:c16="http://schemas.microsoft.com/office/drawing/2014/chart" uri="{C3380CC4-5D6E-409C-BE32-E72D297353CC}">
              <c16:uniqueId val="{00000003-6FA5-4253-95C2-D203F7AE0ACC}"/>
            </c:ext>
          </c:extLst>
        </c:ser>
        <c:dLbls>
          <c:showLegendKey val="0"/>
          <c:showVal val="0"/>
          <c:showCatName val="0"/>
          <c:showSerName val="0"/>
          <c:showPercent val="0"/>
          <c:showBubbleSize val="0"/>
        </c:dLbls>
        <c:gapWidth val="219"/>
        <c:overlap val="-27"/>
        <c:axId val="60083776"/>
        <c:axId val="60088576"/>
      </c:barChart>
      <c:catAx>
        <c:axId val="60083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rgbClr val="FF0000"/>
                </a:solidFill>
                <a:latin typeface="+mn-lt"/>
                <a:ea typeface="+mn-ea"/>
                <a:cs typeface="+mn-cs"/>
              </a:defRPr>
            </a:pPr>
            <a:endParaRPr lang="en-US"/>
          </a:p>
        </c:txPr>
        <c:crossAx val="60088576"/>
        <c:crosses val="autoZero"/>
        <c:auto val="1"/>
        <c:lblAlgn val="ctr"/>
        <c:lblOffset val="100"/>
        <c:noMultiLvlLbl val="0"/>
      </c:catAx>
      <c:valAx>
        <c:axId val="6008857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0837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5">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[Dashboard.xlsx]PV!Region</c:name>
    <c:fmtId val="8"/>
  </c:pivotSource>
  <c:chart>
    <c:title>
      <c:layout>
        <c:manualLayout>
          <c:xMode val="edge"/>
          <c:yMode val="edge"/>
          <c:x val="0.87090395480226002"/>
          <c:y val="0.8739792942548848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numFmt formatCode="General" sourceLinked="0"/>
          <c:spPr>
            <a:solidFill>
              <a:schemeClr val="bg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numFmt formatCode="General" sourceLinked="0"/>
          <c:spPr>
            <a:solidFill>
              <a:schemeClr val="bg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marker>
          <c:symbol val="none"/>
        </c:marker>
        <c:dLbl>
          <c:idx val="0"/>
          <c:numFmt formatCode="General" sourceLinked="0"/>
          <c:spPr>
            <a:solidFill>
              <a:schemeClr val="bg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s>
    <c:plotArea>
      <c:layout>
        <c:manualLayout>
          <c:layoutTarget val="inner"/>
          <c:xMode val="edge"/>
          <c:yMode val="edge"/>
          <c:x val="0.28409026202233195"/>
          <c:y val="0.14121609798775153"/>
          <c:w val="0.4628931447128431"/>
          <c:h val="0.75863043161271504"/>
        </c:manualLayout>
      </c:layout>
      <c:pieChart>
        <c:varyColors val="1"/>
        <c:ser>
          <c:idx val="0"/>
          <c:order val="0"/>
          <c:tx>
            <c:strRef>
              <c:f>PV!$I$3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69C-4DDD-AD09-5F841162A20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69C-4DDD-AD09-5F841162A20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69C-4DDD-AD09-5F841162A20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69C-4DDD-AD09-5F841162A204}"/>
              </c:ext>
            </c:extLst>
          </c:dPt>
          <c:dLbls>
            <c:numFmt formatCode="General" sourceLinked="0"/>
            <c:spPr>
              <a:solidFill>
                <a:schemeClr val="bg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PV!$H$4:$H$8</c:f>
              <c:strCache>
                <c:ptCount val="4"/>
                <c:pt idx="0">
                  <c:v>East</c:v>
                </c:pt>
                <c:pt idx="1">
                  <c:v>North</c:v>
                </c:pt>
                <c:pt idx="2">
                  <c:v>South</c:v>
                </c:pt>
                <c:pt idx="3">
                  <c:v>West</c:v>
                </c:pt>
              </c:strCache>
            </c:strRef>
          </c:cat>
          <c:val>
            <c:numRef>
              <c:f>PV!$I$4:$I$8</c:f>
              <c:numCache>
                <c:formatCode>"$"#,##0</c:formatCode>
                <c:ptCount val="4"/>
                <c:pt idx="0">
                  <c:v>28873</c:v>
                </c:pt>
                <c:pt idx="1">
                  <c:v>38437</c:v>
                </c:pt>
                <c:pt idx="2">
                  <c:v>75612</c:v>
                </c:pt>
                <c:pt idx="3">
                  <c:v>12246</c:v>
                </c:pt>
              </c:numCache>
            </c:numRef>
          </c:val>
          <c:extLst>
            <c:ext xmlns:c16="http://schemas.microsoft.com/office/drawing/2014/chart" uri="{C3380CC4-5D6E-409C-BE32-E72D297353CC}">
              <c16:uniqueId val="{00000008-D69C-4DDD-AD09-5F841162A204}"/>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[Dashboard.xlsx]PV!T Pro</c:name>
    <c:fmtId val="1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PV!$F$3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PV!$E$4:$E$11</c:f>
              <c:strCache>
                <c:ptCount val="7"/>
                <c:pt idx="0">
                  <c:v>Apple</c:v>
                </c:pt>
                <c:pt idx="1">
                  <c:v>Banana</c:v>
                </c:pt>
                <c:pt idx="2">
                  <c:v>Beans</c:v>
                </c:pt>
                <c:pt idx="3">
                  <c:v>Broccoli</c:v>
                </c:pt>
                <c:pt idx="4">
                  <c:v>Carrots</c:v>
                </c:pt>
                <c:pt idx="5">
                  <c:v>Mango</c:v>
                </c:pt>
                <c:pt idx="6">
                  <c:v>Orange</c:v>
                </c:pt>
              </c:strCache>
            </c:strRef>
          </c:cat>
          <c:val>
            <c:numRef>
              <c:f>PV!$F$4:$F$11</c:f>
              <c:numCache>
                <c:formatCode>"$"#,##0</c:formatCode>
                <c:ptCount val="7"/>
                <c:pt idx="0">
                  <c:v>9082</c:v>
                </c:pt>
                <c:pt idx="1">
                  <c:v>39686</c:v>
                </c:pt>
                <c:pt idx="2">
                  <c:v>29905</c:v>
                </c:pt>
                <c:pt idx="3">
                  <c:v>37197</c:v>
                </c:pt>
                <c:pt idx="4">
                  <c:v>21636</c:v>
                </c:pt>
                <c:pt idx="5">
                  <c:v>8775</c:v>
                </c:pt>
                <c:pt idx="6">
                  <c:v>8887</c:v>
                </c:pt>
              </c:numCache>
            </c:numRef>
          </c:val>
          <c:extLst>
            <c:ext xmlns:c16="http://schemas.microsoft.com/office/drawing/2014/chart" uri="{C3380CC4-5D6E-409C-BE32-E72D297353CC}">
              <c16:uniqueId val="{00000000-D20E-41B9-9FD7-3B3772CD0926}"/>
            </c:ext>
          </c:extLst>
        </c:ser>
        <c:dLbls>
          <c:dLblPos val="outEnd"/>
          <c:showLegendKey val="0"/>
          <c:showVal val="1"/>
          <c:showCatName val="0"/>
          <c:showSerName val="0"/>
          <c:showPercent val="0"/>
          <c:showBubbleSize val="0"/>
        </c:dLbls>
        <c:gapWidth val="219"/>
        <c:overlap val="-27"/>
        <c:axId val="54469792"/>
        <c:axId val="54470272"/>
      </c:barChart>
      <c:catAx>
        <c:axId val="54469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470272"/>
        <c:crosses val="autoZero"/>
        <c:auto val="1"/>
        <c:lblAlgn val="ctr"/>
        <c:lblOffset val="100"/>
        <c:noMultiLvlLbl val="0"/>
      </c:catAx>
      <c:valAx>
        <c:axId val="54470272"/>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4697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[Dashboard.xlsx]PV!country by region</c:name>
    <c:fmtId val="24"/>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FF0000"/>
            </a:solidFill>
            <a:prstDash val="dash"/>
            <a:round/>
          </a:ln>
          <a:effectLst/>
        </c:spPr>
        <c:marker>
          <c:symbol val="none"/>
        </c:marker>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FF0000"/>
            </a:solidFill>
            <a:prstDash val="dash"/>
            <a:round/>
          </a:ln>
          <a:effectLst/>
        </c:spPr>
        <c:marker>
          <c:symbol val="none"/>
        </c:marker>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rgbClr val="FF0000"/>
            </a:solidFill>
            <a:prstDash val="dash"/>
            <a:round/>
          </a:ln>
          <a:effectLst/>
        </c:spPr>
        <c:marker>
          <c:symbol val="none"/>
        </c:marker>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rgbClr val="FF0000"/>
            </a:solidFill>
            <a:prstDash val="dash"/>
            <a:round/>
          </a:ln>
          <a:effectLst/>
        </c:spPr>
        <c:marker>
          <c:symbol val="none"/>
        </c:marker>
      </c:pivotFmt>
      <c:pivotFmt>
        <c:idx val="1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rgbClr val="FF0000"/>
            </a:solidFill>
            <a:prstDash val="dash"/>
            <a:round/>
          </a:ln>
          <a:effectLst/>
        </c:spPr>
        <c:marker>
          <c:symbol val="none"/>
        </c:marker>
      </c:pivotFmt>
    </c:pivotFmts>
    <c:plotArea>
      <c:layout/>
      <c:lineChart>
        <c:grouping val="standard"/>
        <c:varyColors val="0"/>
        <c:ser>
          <c:idx val="0"/>
          <c:order val="0"/>
          <c:tx>
            <c:strRef>
              <c:f>PV!$I$14:$I$15</c:f>
              <c:strCache>
                <c:ptCount val="1"/>
                <c:pt idx="0">
                  <c:v>Fruit</c:v>
                </c:pt>
              </c:strCache>
            </c:strRef>
          </c:tx>
          <c:spPr>
            <a:ln w="28575" cap="rnd">
              <a:solidFill>
                <a:schemeClr val="accent1"/>
              </a:solidFill>
              <a:round/>
            </a:ln>
            <a:effectLst/>
          </c:spPr>
          <c:marker>
            <c:symbol val="none"/>
          </c:marker>
          <c:cat>
            <c:strRef>
              <c:f>PV!$H$16:$H$17</c:f>
              <c:strCache>
                <c:ptCount val="1"/>
                <c:pt idx="0">
                  <c:v>Germany</c:v>
                </c:pt>
              </c:strCache>
            </c:strRef>
          </c:cat>
          <c:val>
            <c:numRef>
              <c:f>PV!$I$16:$I$17</c:f>
              <c:numCache>
                <c:formatCode>"$"#,##0</c:formatCode>
                <c:ptCount val="1"/>
                <c:pt idx="0">
                  <c:v>66430</c:v>
                </c:pt>
              </c:numCache>
            </c:numRef>
          </c:val>
          <c:smooth val="1"/>
          <c:extLst>
            <c:ext xmlns:c16="http://schemas.microsoft.com/office/drawing/2014/chart" uri="{C3380CC4-5D6E-409C-BE32-E72D297353CC}">
              <c16:uniqueId val="{00000001-3A8E-4B0A-A1DE-61C6FB562C3C}"/>
            </c:ext>
          </c:extLst>
        </c:ser>
        <c:ser>
          <c:idx val="1"/>
          <c:order val="1"/>
          <c:tx>
            <c:strRef>
              <c:f>PV!$J$14:$J$15</c:f>
              <c:strCache>
                <c:ptCount val="1"/>
                <c:pt idx="0">
                  <c:v>Vegetables</c:v>
                </c:pt>
              </c:strCache>
            </c:strRef>
          </c:tx>
          <c:spPr>
            <a:ln w="28575" cap="rnd">
              <a:solidFill>
                <a:schemeClr val="accent2"/>
              </a:solidFill>
              <a:round/>
            </a:ln>
            <a:effectLst/>
          </c:spPr>
          <c:marker>
            <c:symbol val="none"/>
          </c:marker>
          <c:cat>
            <c:strRef>
              <c:f>PV!$H$16:$H$17</c:f>
              <c:strCache>
                <c:ptCount val="1"/>
                <c:pt idx="0">
                  <c:v>Germany</c:v>
                </c:pt>
              </c:strCache>
            </c:strRef>
          </c:cat>
          <c:val>
            <c:numRef>
              <c:f>PV!$J$16:$J$17</c:f>
              <c:numCache>
                <c:formatCode>"$"#,##0</c:formatCode>
                <c:ptCount val="1"/>
                <c:pt idx="0">
                  <c:v>88738</c:v>
                </c:pt>
              </c:numCache>
            </c:numRef>
          </c:val>
          <c:smooth val="0"/>
          <c:extLst>
            <c:ext xmlns:c16="http://schemas.microsoft.com/office/drawing/2014/chart" uri="{C3380CC4-5D6E-409C-BE32-E72D297353CC}">
              <c16:uniqueId val="{0000000A-3A8E-4B0A-A1DE-61C6FB562C3C}"/>
            </c:ext>
          </c:extLst>
        </c:ser>
        <c:dLbls>
          <c:showLegendKey val="0"/>
          <c:showVal val="0"/>
          <c:showCatName val="0"/>
          <c:showSerName val="0"/>
          <c:showPercent val="0"/>
          <c:showBubbleSize val="0"/>
        </c:dLbls>
        <c:smooth val="0"/>
        <c:axId val="60083776"/>
        <c:axId val="60088576"/>
      </c:lineChart>
      <c:catAx>
        <c:axId val="60083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088576"/>
        <c:crosses val="autoZero"/>
        <c:auto val="1"/>
        <c:lblAlgn val="ctr"/>
        <c:lblOffset val="100"/>
        <c:noMultiLvlLbl val="0"/>
      </c:catAx>
      <c:valAx>
        <c:axId val="6008857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0837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[Dashboard.xlsx]PV!T Pro</c:name>
    <c:fmtId val="1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PV!$F$3</c:f>
              <c:strCache>
                <c:ptCount val="1"/>
                <c:pt idx="0">
                  <c:v>Total</c:v>
                </c:pt>
              </c:strCache>
            </c:strRef>
          </c:tx>
          <c:spPr>
            <a:solidFill>
              <a:schemeClr val="accent1"/>
            </a:solidFill>
            <a:ln>
              <a:noFill/>
            </a:ln>
            <a:effectLst/>
          </c:spPr>
          <c:invertIfNegative val="0"/>
          <c:cat>
            <c:strRef>
              <c:f>PV!$E$4:$E$11</c:f>
              <c:strCache>
                <c:ptCount val="7"/>
                <c:pt idx="0">
                  <c:v>Apple</c:v>
                </c:pt>
                <c:pt idx="1">
                  <c:v>Banana</c:v>
                </c:pt>
                <c:pt idx="2">
                  <c:v>Beans</c:v>
                </c:pt>
                <c:pt idx="3">
                  <c:v>Broccoli</c:v>
                </c:pt>
                <c:pt idx="4">
                  <c:v>Carrots</c:v>
                </c:pt>
                <c:pt idx="5">
                  <c:v>Mango</c:v>
                </c:pt>
                <c:pt idx="6">
                  <c:v>Orange</c:v>
                </c:pt>
              </c:strCache>
            </c:strRef>
          </c:cat>
          <c:val>
            <c:numRef>
              <c:f>PV!$F$4:$F$11</c:f>
              <c:numCache>
                <c:formatCode>"$"#,##0</c:formatCode>
                <c:ptCount val="7"/>
                <c:pt idx="0">
                  <c:v>9082</c:v>
                </c:pt>
                <c:pt idx="1">
                  <c:v>39686</c:v>
                </c:pt>
                <c:pt idx="2">
                  <c:v>29905</c:v>
                </c:pt>
                <c:pt idx="3">
                  <c:v>37197</c:v>
                </c:pt>
                <c:pt idx="4">
                  <c:v>21636</c:v>
                </c:pt>
                <c:pt idx="5">
                  <c:v>8775</c:v>
                </c:pt>
                <c:pt idx="6">
                  <c:v>8887</c:v>
                </c:pt>
              </c:numCache>
            </c:numRef>
          </c:val>
          <c:extLst>
            <c:ext xmlns:c16="http://schemas.microsoft.com/office/drawing/2014/chart" uri="{C3380CC4-5D6E-409C-BE32-E72D297353CC}">
              <c16:uniqueId val="{00000000-F4C4-4168-8678-124B8C637F30}"/>
            </c:ext>
          </c:extLst>
        </c:ser>
        <c:dLbls>
          <c:showLegendKey val="0"/>
          <c:showVal val="0"/>
          <c:showCatName val="0"/>
          <c:showSerName val="0"/>
          <c:showPercent val="0"/>
          <c:showBubbleSize val="0"/>
        </c:dLbls>
        <c:gapWidth val="182"/>
        <c:axId val="1194371311"/>
        <c:axId val="1194372271"/>
      </c:barChart>
      <c:catAx>
        <c:axId val="11943713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4372271"/>
        <c:crosses val="autoZero"/>
        <c:auto val="1"/>
        <c:lblAlgn val="ctr"/>
        <c:lblOffset val="100"/>
        <c:noMultiLvlLbl val="0"/>
      </c:catAx>
      <c:valAx>
        <c:axId val="1194372271"/>
        <c:scaling>
          <c:orientation val="minMax"/>
        </c:scaling>
        <c:delete val="0"/>
        <c:axPos val="b"/>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43713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[Dashboard.xlsx]PV!Cat %</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doughnutChart>
        <c:varyColors val="1"/>
        <c:ser>
          <c:idx val="0"/>
          <c:order val="0"/>
          <c:tx>
            <c:strRef>
              <c:f>PV!$B$14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9D9-4280-8534-F95FB1E9A4A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9D9-4280-8534-F95FB1E9A4A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PV!$A$15:$A$17</c:f>
              <c:strCache>
                <c:ptCount val="2"/>
                <c:pt idx="0">
                  <c:v>Fruit</c:v>
                </c:pt>
                <c:pt idx="1">
                  <c:v>Vegetables</c:v>
                </c:pt>
              </c:strCache>
            </c:strRef>
          </c:cat>
          <c:val>
            <c:numRef>
              <c:f>PV!$B$15:$B$17</c:f>
              <c:numCache>
                <c:formatCode>0.00%</c:formatCode>
                <c:ptCount val="2"/>
                <c:pt idx="0">
                  <c:v>0.4281166219839142</c:v>
                </c:pt>
                <c:pt idx="1">
                  <c:v>0.5718833780160858</c:v>
                </c:pt>
              </c:numCache>
            </c:numRef>
          </c:val>
          <c:extLst>
            <c:ext xmlns:c16="http://schemas.microsoft.com/office/drawing/2014/chart" uri="{C3380CC4-5D6E-409C-BE32-E72D297353CC}">
              <c16:uniqueId val="{00000004-19D9-4280-8534-F95FB1E9A4A0}"/>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[Dashboard.xlsx]PV!t Month</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PV!$N$14</c:f>
              <c:strCache>
                <c:ptCount val="1"/>
                <c:pt idx="0">
                  <c:v>Total</c:v>
                </c:pt>
              </c:strCache>
            </c:strRef>
          </c:tx>
          <c:spPr>
            <a:solidFill>
              <a:schemeClr val="accent1"/>
            </a:solidFill>
            <a:ln>
              <a:noFill/>
            </a:ln>
            <a:effectLst/>
          </c:spPr>
          <c:cat>
            <c:strRef>
              <c:f>PV!$M$15:$M$26</c:f>
              <c:strCache>
                <c:ptCount val="11"/>
                <c:pt idx="0">
                  <c:v>January</c:v>
                </c:pt>
                <c:pt idx="1">
                  <c:v>February</c:v>
                </c:pt>
                <c:pt idx="2">
                  <c:v>March</c:v>
                </c:pt>
                <c:pt idx="3">
                  <c:v>April</c:v>
                </c:pt>
                <c:pt idx="4">
                  <c:v>May</c:v>
                </c:pt>
                <c:pt idx="5">
                  <c:v>June</c:v>
                </c:pt>
                <c:pt idx="6">
                  <c:v>July</c:v>
                </c:pt>
                <c:pt idx="7">
                  <c:v>August</c:v>
                </c:pt>
                <c:pt idx="8">
                  <c:v>September</c:v>
                </c:pt>
                <c:pt idx="9">
                  <c:v>October</c:v>
                </c:pt>
                <c:pt idx="10">
                  <c:v>November</c:v>
                </c:pt>
              </c:strCache>
            </c:strRef>
          </c:cat>
          <c:val>
            <c:numRef>
              <c:f>PV!$N$15:$N$26</c:f>
              <c:numCache>
                <c:formatCode>"$"#,##0</c:formatCode>
                <c:ptCount val="11"/>
                <c:pt idx="0">
                  <c:v>12703</c:v>
                </c:pt>
                <c:pt idx="1">
                  <c:v>12829</c:v>
                </c:pt>
                <c:pt idx="2">
                  <c:v>3263</c:v>
                </c:pt>
                <c:pt idx="3">
                  <c:v>29253</c:v>
                </c:pt>
                <c:pt idx="4">
                  <c:v>14645</c:v>
                </c:pt>
                <c:pt idx="5">
                  <c:v>7319</c:v>
                </c:pt>
                <c:pt idx="6">
                  <c:v>9777</c:v>
                </c:pt>
                <c:pt idx="7">
                  <c:v>27042</c:v>
                </c:pt>
                <c:pt idx="8">
                  <c:v>14666</c:v>
                </c:pt>
                <c:pt idx="9">
                  <c:v>21768</c:v>
                </c:pt>
                <c:pt idx="10">
                  <c:v>1903</c:v>
                </c:pt>
              </c:numCache>
            </c:numRef>
          </c:val>
          <c:extLst>
            <c:ext xmlns:c16="http://schemas.microsoft.com/office/drawing/2014/chart" uri="{C3380CC4-5D6E-409C-BE32-E72D297353CC}">
              <c16:uniqueId val="{00000000-C988-43A0-9C16-E174FC907AF0}"/>
            </c:ext>
          </c:extLst>
        </c:ser>
        <c:dLbls>
          <c:showLegendKey val="0"/>
          <c:showVal val="0"/>
          <c:showCatName val="0"/>
          <c:showSerName val="0"/>
          <c:showPercent val="0"/>
          <c:showBubbleSize val="0"/>
        </c:dLbls>
        <c:axId val="1189260703"/>
        <c:axId val="1189258783"/>
      </c:areaChart>
      <c:catAx>
        <c:axId val="118926070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9258783"/>
        <c:crosses val="autoZero"/>
        <c:auto val="1"/>
        <c:lblAlgn val="ctr"/>
        <c:lblOffset val="100"/>
        <c:noMultiLvlLbl val="0"/>
      </c:catAx>
      <c:valAx>
        <c:axId val="1189258783"/>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9260703"/>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title pos="t" align="ctr" overlay="0"/>
    <cx:plotArea>
      <cx:plotAreaRegion>
        <cx:series layoutId="treemap" uniqueId="{BDF30372-CA6E-4F8E-884F-3B9897EA0DC2}">
          <cx:tx>
            <cx:txData>
              <cx:f>_xlchart.v1.1</cx:f>
              <cx:v> T Amount</cx:v>
            </cx:txData>
          </cx:tx>
          <cx:dataLabels pos="inEnd">
            <cx:numFmt formatCode="General" sourceLinked="0"/>
            <cx:visibility seriesName="0" categoryName="1" value="1"/>
            <cx:separator>, </cx:separator>
          </cx:dataLabels>
          <cx:dataId val="0"/>
          <cx:layoutPr>
            <cx:parentLabelLayout val="overlapping"/>
          </cx:layoutPr>
        </cx:series>
      </cx:plotAreaRegion>
    </cx:plotArea>
    <cx:legend pos="t"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2.bin"/></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301F799-4C29-407F-960C-3193EFD54B06}">
  <sheetPr/>
  <sheetViews>
    <sheetView zoomScale="67" workbookViewId="0" zoomToFit="1"/>
  </sheetViews>
  <pageMargins left="0.7" right="0.7" top="0.75" bottom="0.75" header="0.3" footer="0.3"/>
  <pageSetup orientation="landscape" r:id="rId1"/>
  <drawing r:id="rId2"/>
</chartsheet>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microsoft.com/office/2007/relationships/hdphoto" Target="../media/hdphoto1.wdp"/><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2" Type="http://schemas.openxmlformats.org/officeDocument/2006/relationships/chart" Target="../charts/chart6.xml"/><Relationship Id="rId1" Type="http://schemas.microsoft.com/office/2014/relationships/chartEx" Target="../charts/chartEx1.xml"/></Relationships>
</file>

<file path=xl/drawings/_rels/drawing3.xml.rels><?xml version="1.0" encoding="UTF-8" standalone="yes"?>
<Relationships xmlns="http://schemas.openxmlformats.org/package/2006/relationships"><Relationship Id="rId8" Type="http://schemas.openxmlformats.org/officeDocument/2006/relationships/image" Target="../media/image3.svg"/><Relationship Id="rId13" Type="http://schemas.microsoft.com/office/2007/relationships/hdphoto" Target="../media/hdphoto2.wdp"/><Relationship Id="rId3" Type="http://schemas.openxmlformats.org/officeDocument/2006/relationships/chart" Target="../charts/chart9.xml"/><Relationship Id="rId7" Type="http://schemas.openxmlformats.org/officeDocument/2006/relationships/image" Target="../media/image2.png"/><Relationship Id="rId12" Type="http://schemas.openxmlformats.org/officeDocument/2006/relationships/image" Target="../media/image5.png"/><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11" Type="http://schemas.openxmlformats.org/officeDocument/2006/relationships/image" Target="../media/image4.jpg"/><Relationship Id="rId5" Type="http://schemas.openxmlformats.org/officeDocument/2006/relationships/chart" Target="../charts/chart11.xml"/><Relationship Id="rId10" Type="http://schemas.microsoft.com/office/2007/relationships/hdphoto" Target="../media/hdphoto1.wdp"/><Relationship Id="rId4" Type="http://schemas.openxmlformats.org/officeDocument/2006/relationships/chart" Target="../charts/chart10.xml"/><Relationship Id="rId9"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6.xml.rels><?xml version="1.0" encoding="UTF-8" standalone="yes"?>
<Relationships xmlns="http://schemas.openxmlformats.org/package/2006/relationships"><Relationship Id="rId8" Type="http://schemas.openxmlformats.org/officeDocument/2006/relationships/image" Target="../media/image3.svg"/><Relationship Id="rId13" Type="http://schemas.microsoft.com/office/2007/relationships/hdphoto" Target="../media/hdphoto2.wdp"/><Relationship Id="rId3" Type="http://schemas.openxmlformats.org/officeDocument/2006/relationships/chart" Target="../charts/chart16.xml"/><Relationship Id="rId7" Type="http://schemas.openxmlformats.org/officeDocument/2006/relationships/image" Target="../media/image2.png"/><Relationship Id="rId12" Type="http://schemas.openxmlformats.org/officeDocument/2006/relationships/image" Target="../media/image5.png"/><Relationship Id="rId2" Type="http://schemas.openxmlformats.org/officeDocument/2006/relationships/chart" Target="../charts/chart15.xml"/><Relationship Id="rId1" Type="http://schemas.openxmlformats.org/officeDocument/2006/relationships/chart" Target="../charts/chart14.xml"/><Relationship Id="rId6" Type="http://schemas.openxmlformats.org/officeDocument/2006/relationships/chart" Target="../charts/chart19.xml"/><Relationship Id="rId11" Type="http://schemas.openxmlformats.org/officeDocument/2006/relationships/image" Target="../media/image4.jpg"/><Relationship Id="rId5" Type="http://schemas.openxmlformats.org/officeDocument/2006/relationships/chart" Target="../charts/chart18.xml"/><Relationship Id="rId10" Type="http://schemas.microsoft.com/office/2007/relationships/hdphoto" Target="../media/hdphoto1.wdp"/><Relationship Id="rId4" Type="http://schemas.openxmlformats.org/officeDocument/2006/relationships/chart" Target="../charts/chart17.xml"/><Relationship Id="rId9"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44139</xdr:colOff>
      <xdr:row>0</xdr:row>
      <xdr:rowOff>0</xdr:rowOff>
    </xdr:from>
    <xdr:to>
      <xdr:col>59</xdr:col>
      <xdr:colOff>381000</xdr:colOff>
      <xdr:row>94</xdr:row>
      <xdr:rowOff>50800</xdr:rowOff>
    </xdr:to>
    <xdr:grpSp>
      <xdr:nvGrpSpPr>
        <xdr:cNvPr id="7" name="Group 6">
          <a:extLst>
            <a:ext uri="{FF2B5EF4-FFF2-40B4-BE49-F238E27FC236}">
              <a16:creationId xmlns:a16="http://schemas.microsoft.com/office/drawing/2014/main" id="{031FDA56-4382-47E4-5B58-79892685A097}"/>
            </a:ext>
          </a:extLst>
        </xdr:cNvPr>
        <xdr:cNvGrpSpPr/>
      </xdr:nvGrpSpPr>
      <xdr:grpSpPr>
        <a:xfrm>
          <a:off x="653739" y="0"/>
          <a:ext cx="35693661" cy="16764000"/>
          <a:chOff x="653739" y="0"/>
          <a:chExt cx="35693661" cy="15971121"/>
        </a:xfrm>
      </xdr:grpSpPr>
      <xdr:grpSp>
        <xdr:nvGrpSpPr>
          <xdr:cNvPr id="26" name="Group 25">
            <a:extLst>
              <a:ext uri="{FF2B5EF4-FFF2-40B4-BE49-F238E27FC236}">
                <a16:creationId xmlns:a16="http://schemas.microsoft.com/office/drawing/2014/main" id="{2DE85D1E-4350-DA13-7EE3-010F009C028C}"/>
              </a:ext>
            </a:extLst>
          </xdr:cNvPr>
          <xdr:cNvGrpSpPr/>
        </xdr:nvGrpSpPr>
        <xdr:grpSpPr>
          <a:xfrm>
            <a:off x="653739" y="0"/>
            <a:ext cx="35693661" cy="15971121"/>
            <a:chOff x="21471" y="-233521"/>
            <a:chExt cx="20508441" cy="12609108"/>
          </a:xfrm>
        </xdr:grpSpPr>
        <xdr:grpSp>
          <xdr:nvGrpSpPr>
            <xdr:cNvPr id="23" name="Group 22">
              <a:extLst>
                <a:ext uri="{FF2B5EF4-FFF2-40B4-BE49-F238E27FC236}">
                  <a16:creationId xmlns:a16="http://schemas.microsoft.com/office/drawing/2014/main" id="{38157C0C-7D47-ADBE-A275-9B5B5582DA70}"/>
                </a:ext>
              </a:extLst>
            </xdr:cNvPr>
            <xdr:cNvGrpSpPr/>
          </xdr:nvGrpSpPr>
          <xdr:grpSpPr>
            <a:xfrm>
              <a:off x="21471" y="-233521"/>
              <a:ext cx="20508441" cy="12609108"/>
              <a:chOff x="65013" y="-92996"/>
              <a:chExt cx="20508441" cy="12609108"/>
            </a:xfrm>
          </xdr:grpSpPr>
          <xdr:grpSp>
            <xdr:nvGrpSpPr>
              <xdr:cNvPr id="19" name="Group 18">
                <a:extLst>
                  <a:ext uri="{FF2B5EF4-FFF2-40B4-BE49-F238E27FC236}">
                    <a16:creationId xmlns:a16="http://schemas.microsoft.com/office/drawing/2014/main" id="{40F5E434-0DF2-66F5-46FF-5BB91DE3B159}"/>
                  </a:ext>
                </a:extLst>
              </xdr:cNvPr>
              <xdr:cNvGrpSpPr/>
            </xdr:nvGrpSpPr>
            <xdr:grpSpPr>
              <a:xfrm>
                <a:off x="65013" y="-92996"/>
                <a:ext cx="20508441" cy="12609108"/>
                <a:chOff x="97671" y="-126331"/>
                <a:chExt cx="20508441" cy="11760846"/>
              </a:xfrm>
            </xdr:grpSpPr>
            <xdr:sp macro="" textlink="">
              <xdr:nvSpPr>
                <xdr:cNvPr id="3" name="Rectangle 2">
                  <a:extLst>
                    <a:ext uri="{FF2B5EF4-FFF2-40B4-BE49-F238E27FC236}">
                      <a16:creationId xmlns:a16="http://schemas.microsoft.com/office/drawing/2014/main" id="{A2AEF77F-09EF-CE23-0A5F-E300E5952542}"/>
                    </a:ext>
                  </a:extLst>
                </xdr:cNvPr>
                <xdr:cNvSpPr/>
              </xdr:nvSpPr>
              <xdr:spPr>
                <a:xfrm>
                  <a:off x="97671" y="-126331"/>
                  <a:ext cx="20508441" cy="11760846"/>
                </a:xfrm>
                <a:prstGeom prst="rect">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2" name="Chart 1">
                  <a:extLst>
                    <a:ext uri="{FF2B5EF4-FFF2-40B4-BE49-F238E27FC236}">
                      <a16:creationId xmlns:a16="http://schemas.microsoft.com/office/drawing/2014/main" id="{314FB12F-0181-41D6-B8FC-919A91C6B853}"/>
                    </a:ext>
                  </a:extLst>
                </xdr:cNvPr>
                <xdr:cNvGraphicFramePr>
                  <a:graphicFrameLocks/>
                </xdr:cNvGraphicFramePr>
              </xdr:nvGraphicFramePr>
              <xdr:xfrm>
                <a:off x="204849" y="1106300"/>
                <a:ext cx="8813601" cy="3127248"/>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6" name="Chart 5">
                  <a:extLst>
                    <a:ext uri="{FF2B5EF4-FFF2-40B4-BE49-F238E27FC236}">
                      <a16:creationId xmlns:a16="http://schemas.microsoft.com/office/drawing/2014/main" id="{88B282BF-8FF0-4127-B2E4-968171345E20}"/>
                    </a:ext>
                  </a:extLst>
                </xdr:cNvPr>
                <xdr:cNvGraphicFramePr>
                  <a:graphicFrameLocks/>
                </xdr:cNvGraphicFramePr>
              </xdr:nvGraphicFramePr>
              <xdr:xfrm>
                <a:off x="9047640" y="1085393"/>
                <a:ext cx="8085093" cy="3095427"/>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5" name="Chart 4">
                  <a:extLst>
                    <a:ext uri="{FF2B5EF4-FFF2-40B4-BE49-F238E27FC236}">
                      <a16:creationId xmlns:a16="http://schemas.microsoft.com/office/drawing/2014/main" id="{B31D7036-CD15-4E2B-BAF5-B1916C3608BE}"/>
                    </a:ext>
                  </a:extLst>
                </xdr:cNvPr>
                <xdr:cNvGraphicFramePr>
                  <a:graphicFrameLocks/>
                </xdr:cNvGraphicFramePr>
              </xdr:nvGraphicFramePr>
              <xdr:xfrm>
                <a:off x="219693" y="4258101"/>
                <a:ext cx="8798758" cy="3629773"/>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8" name="Chart 7">
                  <a:extLst>
                    <a:ext uri="{FF2B5EF4-FFF2-40B4-BE49-F238E27FC236}">
                      <a16:creationId xmlns:a16="http://schemas.microsoft.com/office/drawing/2014/main" id="{778C570A-3337-4FF3-88D0-E745E83E7703}"/>
                    </a:ext>
                  </a:extLst>
                </xdr:cNvPr>
                <xdr:cNvGraphicFramePr>
                  <a:graphicFrameLocks/>
                </xdr:cNvGraphicFramePr>
              </xdr:nvGraphicFramePr>
              <xdr:xfrm>
                <a:off x="265454" y="7907910"/>
                <a:ext cx="16969437" cy="3619688"/>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12" name="Chart 11">
                  <a:extLst>
                    <a:ext uri="{FF2B5EF4-FFF2-40B4-BE49-F238E27FC236}">
                      <a16:creationId xmlns:a16="http://schemas.microsoft.com/office/drawing/2014/main" id="{F421D591-3C19-4803-97C9-B4615BB2032D}"/>
                    </a:ext>
                  </a:extLst>
                </xdr:cNvPr>
                <xdr:cNvGraphicFramePr>
                  <a:graphicFrameLocks/>
                </xdr:cNvGraphicFramePr>
              </xdr:nvGraphicFramePr>
              <xdr:xfrm>
                <a:off x="9062233" y="4221619"/>
                <a:ext cx="8114281" cy="3569915"/>
              </xdr:xfrm>
              <a:graphic>
                <a:graphicData uri="http://schemas.openxmlformats.org/drawingml/2006/chart">
                  <c:chart xmlns:c="http://schemas.openxmlformats.org/drawingml/2006/chart" xmlns:r="http://schemas.openxmlformats.org/officeDocument/2006/relationships" r:id="rId5"/>
                </a:graphicData>
              </a:graphic>
            </xdr:graphicFrame>
            <mc:AlternateContent xmlns:mc="http://schemas.openxmlformats.org/markup-compatibility/2006">
              <mc:Choice xmlns:a14="http://schemas.microsoft.com/office/drawing/2010/main" Requires="a14">
                <xdr:graphicFrame macro="">
                  <xdr:nvGraphicFramePr>
                    <xdr:cNvPr id="13" name="Country 2">
                      <a:extLst>
                        <a:ext uri="{FF2B5EF4-FFF2-40B4-BE49-F238E27FC236}">
                          <a16:creationId xmlns:a16="http://schemas.microsoft.com/office/drawing/2014/main" id="{EF141B2D-D321-4F2A-B58B-C85733F0ADBF}"/>
                        </a:ext>
                      </a:extLst>
                    </xdr:cNvPr>
                    <xdr:cNvGraphicFramePr/>
                  </xdr:nvGraphicFramePr>
                  <xdr:xfrm>
                    <a:off x="17241162" y="2713578"/>
                    <a:ext cx="1850065" cy="2381194"/>
                  </xdr:xfrm>
                  <a:graphic>
                    <a:graphicData uri="http://schemas.microsoft.com/office/drawing/2010/slicer">
                      <sle:slicer xmlns:sle="http://schemas.microsoft.com/office/drawing/2010/slicer" name="Country 2"/>
                    </a:graphicData>
                  </a:graphic>
                </xdr:graphicFrame>
              </mc:Choice>
              <mc:Fallback>
                <xdr:sp macro="" textlink="">
                  <xdr:nvSpPr>
                    <xdr:cNvPr id="0" name=""/>
                    <xdr:cNvSpPr>
                      <a:spLocks noTextEdit="1"/>
                    </xdr:cNvSpPr>
                  </xdr:nvSpPr>
                  <xdr:spPr>
                    <a:xfrm>
                      <a:off x="30490915" y="4048028"/>
                      <a:ext cx="3219923" cy="33941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14" name="Category 2">
                      <a:extLst>
                        <a:ext uri="{FF2B5EF4-FFF2-40B4-BE49-F238E27FC236}">
                          <a16:creationId xmlns:a16="http://schemas.microsoft.com/office/drawing/2014/main" id="{51D69032-5A66-46AA-B5DE-BFC45344CE1D}"/>
                        </a:ext>
                      </a:extLst>
                    </xdr:cNvPr>
                    <xdr:cNvGraphicFramePr/>
                  </xdr:nvGraphicFramePr>
                  <xdr:xfrm>
                    <a:off x="17241162" y="1875390"/>
                    <a:ext cx="1850065" cy="709345"/>
                  </xdr:xfrm>
                  <a:graphic>
                    <a:graphicData uri="http://schemas.microsoft.com/office/drawing/2010/slicer">
                      <sle:slicer xmlns:sle="http://schemas.microsoft.com/office/drawing/2010/slicer" name="Category 2"/>
                    </a:graphicData>
                  </a:graphic>
                </xdr:graphicFrame>
              </mc:Choice>
              <mc:Fallback>
                <xdr:sp macro="" textlink="">
                  <xdr:nvSpPr>
                    <xdr:cNvPr id="0" name=""/>
                    <xdr:cNvSpPr>
                      <a:spLocks noTextEdit="1"/>
                    </xdr:cNvSpPr>
                  </xdr:nvSpPr>
                  <xdr:spPr>
                    <a:xfrm>
                      <a:off x="30490915" y="2853268"/>
                      <a:ext cx="3219923" cy="101110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15" name="Year">
                      <a:extLst>
                        <a:ext uri="{FF2B5EF4-FFF2-40B4-BE49-F238E27FC236}">
                          <a16:creationId xmlns:a16="http://schemas.microsoft.com/office/drawing/2014/main" id="{340C3869-02F4-4B19-9348-DBF3B645D6D9}"/>
                        </a:ext>
                      </a:extLst>
                    </xdr:cNvPr>
                    <xdr:cNvGraphicFramePr/>
                  </xdr:nvGraphicFramePr>
                  <xdr:xfrm>
                    <a:off x="17241162" y="1105692"/>
                    <a:ext cx="1850065" cy="607244"/>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30490915" y="1756135"/>
                      <a:ext cx="3219923" cy="86557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16" name="Quarter 2">
                      <a:extLst>
                        <a:ext uri="{FF2B5EF4-FFF2-40B4-BE49-F238E27FC236}">
                          <a16:creationId xmlns:a16="http://schemas.microsoft.com/office/drawing/2014/main" id="{030E6198-33A2-49AF-93D8-DE784C9E144C}"/>
                        </a:ext>
                      </a:extLst>
                    </xdr:cNvPr>
                    <xdr:cNvGraphicFramePr/>
                  </xdr:nvGraphicFramePr>
                  <xdr:xfrm>
                    <a:off x="17241162" y="5290249"/>
                    <a:ext cx="1850065" cy="1604289"/>
                  </xdr:xfrm>
                  <a:graphic>
                    <a:graphicData uri="http://schemas.microsoft.com/office/drawing/2010/slicer">
                      <sle:slicer xmlns:sle="http://schemas.microsoft.com/office/drawing/2010/slicer" name="Quarter 2"/>
                    </a:graphicData>
                  </a:graphic>
                </xdr:graphicFrame>
              </mc:Choice>
              <mc:Fallback>
                <xdr:sp macro="" textlink="">
                  <xdr:nvSpPr>
                    <xdr:cNvPr id="0" name=""/>
                    <xdr:cNvSpPr>
                      <a:spLocks noTextEdit="1"/>
                    </xdr:cNvSpPr>
                  </xdr:nvSpPr>
                  <xdr:spPr>
                    <a:xfrm>
                      <a:off x="30490915" y="7720835"/>
                      <a:ext cx="3219923" cy="228676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18" name="Region 2">
                      <a:extLst>
                        <a:ext uri="{FF2B5EF4-FFF2-40B4-BE49-F238E27FC236}">
                          <a16:creationId xmlns:a16="http://schemas.microsoft.com/office/drawing/2014/main" id="{EF03124D-EC22-4286-9D95-A5A4D07910C6}"/>
                        </a:ext>
                      </a:extLst>
                    </xdr:cNvPr>
                    <xdr:cNvGraphicFramePr/>
                  </xdr:nvGraphicFramePr>
                  <xdr:xfrm>
                    <a:off x="17223785" y="7038607"/>
                    <a:ext cx="1884819" cy="2600127"/>
                  </xdr:xfrm>
                  <a:graphic>
                    <a:graphicData uri="http://schemas.microsoft.com/office/drawing/2010/slicer">
                      <sle:slicer xmlns:sle="http://schemas.microsoft.com/office/drawing/2010/slicer" name="Region 2"/>
                    </a:graphicData>
                  </a:graphic>
                </xdr:graphicFrame>
              </mc:Choice>
              <mc:Fallback>
                <xdr:sp macro="" textlink="">
                  <xdr:nvSpPr>
                    <xdr:cNvPr id="0" name=""/>
                    <xdr:cNvSpPr>
                      <a:spLocks noTextEdit="1"/>
                    </xdr:cNvSpPr>
                  </xdr:nvSpPr>
                  <xdr:spPr>
                    <a:xfrm>
                      <a:off x="30460671" y="10212958"/>
                      <a:ext cx="3280410" cy="370624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sp macro="" textlink="">
            <xdr:nvSpPr>
              <xdr:cNvPr id="20" name="Rectangle: Rounded Corners 19">
                <a:extLst>
                  <a:ext uri="{FF2B5EF4-FFF2-40B4-BE49-F238E27FC236}">
                    <a16:creationId xmlns:a16="http://schemas.microsoft.com/office/drawing/2014/main" id="{AF8E4F03-2F46-F0D0-95BE-2F904FBB49F3}"/>
                  </a:ext>
                </a:extLst>
              </xdr:cNvPr>
              <xdr:cNvSpPr/>
            </xdr:nvSpPr>
            <xdr:spPr>
              <a:xfrm>
                <a:off x="130628" y="-16577"/>
                <a:ext cx="11540467" cy="1180359"/>
              </a:xfrm>
              <a:prstGeom prst="roundRect">
                <a:avLst>
                  <a:gd name="adj" fmla="val 50000"/>
                </a:avLst>
              </a:prstGeom>
              <a:effectLst>
                <a:innerShdw blurRad="63500" dist="50800" dir="16200000">
                  <a:prstClr val="black">
                    <a:alpha val="50000"/>
                  </a:prstClr>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8000" b="1" i="0" u="none" strike="noStrike">
                    <a:solidFill>
                      <a:schemeClr val="lt1"/>
                    </a:solidFill>
                    <a:effectLst/>
                    <a:latin typeface="+mn-lt"/>
                    <a:ea typeface="+mn-ea"/>
                    <a:cs typeface="+mn-cs"/>
                  </a:rPr>
                  <a:t>Sales Report</a:t>
                </a:r>
              </a:p>
            </xdr:txBody>
          </xdr:sp>
        </xdr:grpSp>
        <xdr:sp macro="" textlink="">
          <xdr:nvSpPr>
            <xdr:cNvPr id="25" name="Rectangle: Rounded Corners 24">
              <a:extLst>
                <a:ext uri="{FF2B5EF4-FFF2-40B4-BE49-F238E27FC236}">
                  <a16:creationId xmlns:a16="http://schemas.microsoft.com/office/drawing/2014/main" id="{37ABF6F0-FB28-4781-B96B-7B76F3D92DFF}"/>
                </a:ext>
              </a:extLst>
            </xdr:cNvPr>
            <xdr:cNvSpPr/>
          </xdr:nvSpPr>
          <xdr:spPr>
            <a:xfrm>
              <a:off x="11733359" y="-233521"/>
              <a:ext cx="2200050" cy="1236115"/>
            </a:xfrm>
            <a:prstGeom prst="roundRect">
              <a:avLst>
                <a:gd name="adj" fmla="val 50000"/>
              </a:avLst>
            </a:prstGeom>
            <a:effectLst>
              <a:innerShdw blurRad="63500" dist="50800" dir="16200000">
                <a:prstClr val="black">
                  <a:alpha val="50000"/>
                </a:prstClr>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3200" b="1" i="0" u="none" strike="noStrike">
                  <a:solidFill>
                    <a:schemeClr val="lt1"/>
                  </a:solidFill>
                  <a:effectLst/>
                  <a:latin typeface="+mn-lt"/>
                  <a:ea typeface="+mn-ea"/>
                  <a:cs typeface="+mn-cs"/>
                </a:rPr>
                <a:t> Total Sales</a:t>
              </a:r>
            </a:p>
            <a:p>
              <a:pPr marL="0" marR="0" lvl="0" indent="0" algn="ctr" defTabSz="914400" eaLnBrk="1" fontAlgn="auto" latinLnBrk="0" hangingPunct="1">
                <a:lnSpc>
                  <a:spcPct val="100000"/>
                </a:lnSpc>
                <a:spcBef>
                  <a:spcPts val="0"/>
                </a:spcBef>
                <a:spcAft>
                  <a:spcPts val="0"/>
                </a:spcAft>
                <a:buClrTx/>
                <a:buSzTx/>
                <a:buFontTx/>
                <a:buNone/>
                <a:tabLst/>
                <a:defRPr/>
              </a:pPr>
              <a:r>
                <a:rPr lang="en-US" sz="3200" b="1" i="0" u="none" strike="noStrike">
                  <a:solidFill>
                    <a:schemeClr val="lt1"/>
                  </a:solidFill>
                  <a:effectLst/>
                  <a:latin typeface="+mn-lt"/>
                  <a:ea typeface="+mn-ea"/>
                  <a:cs typeface="+mn-cs"/>
                </a:rPr>
                <a:t> 1,034,734 </a:t>
              </a:r>
            </a:p>
          </xdr:txBody>
        </xdr:sp>
        <xdr:sp macro="" textlink="">
          <xdr:nvSpPr>
            <xdr:cNvPr id="27" name="Rectangle: Rounded Corners 26">
              <a:extLst>
                <a:ext uri="{FF2B5EF4-FFF2-40B4-BE49-F238E27FC236}">
                  <a16:creationId xmlns:a16="http://schemas.microsoft.com/office/drawing/2014/main" id="{DD3419AF-2E3A-43CD-8501-A11E0B9621D2}"/>
                </a:ext>
              </a:extLst>
            </xdr:cNvPr>
            <xdr:cNvSpPr/>
          </xdr:nvSpPr>
          <xdr:spPr>
            <a:xfrm>
              <a:off x="14064756" y="-214416"/>
              <a:ext cx="2262074" cy="1210660"/>
            </a:xfrm>
            <a:prstGeom prst="roundRect">
              <a:avLst>
                <a:gd name="adj" fmla="val 42064"/>
              </a:avLst>
            </a:prstGeom>
            <a:effectLst>
              <a:innerShdw blurRad="63500" dist="50800" dir="16200000">
                <a:prstClr val="black">
                  <a:alpha val="50000"/>
                </a:prstClr>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3200" b="1" i="0" u="none" strike="noStrike">
                  <a:solidFill>
                    <a:schemeClr val="lt1"/>
                  </a:solidFill>
                  <a:effectLst/>
                  <a:latin typeface="+mn-lt"/>
                  <a:ea typeface="+mn-ea"/>
                  <a:cs typeface="+mn-cs"/>
                </a:rPr>
                <a:t> No of order ID</a:t>
              </a:r>
            </a:p>
            <a:p>
              <a:pPr marL="0" marR="0" lvl="0" indent="0" algn="ctr" defTabSz="914400" eaLnBrk="1" fontAlgn="auto" latinLnBrk="0" hangingPunct="1">
                <a:lnSpc>
                  <a:spcPct val="100000"/>
                </a:lnSpc>
                <a:spcBef>
                  <a:spcPts val="0"/>
                </a:spcBef>
                <a:spcAft>
                  <a:spcPts val="0"/>
                </a:spcAft>
                <a:buClrTx/>
                <a:buSzTx/>
                <a:buFontTx/>
                <a:buNone/>
                <a:tabLst/>
                <a:defRPr/>
              </a:pPr>
              <a:r>
                <a:rPr lang="en-US" sz="3200" b="1" i="0" u="none" strike="noStrike">
                  <a:solidFill>
                    <a:schemeClr val="lt1"/>
                  </a:solidFill>
                  <a:effectLst/>
                  <a:latin typeface="+mn-lt"/>
                  <a:ea typeface="+mn-ea"/>
                  <a:cs typeface="+mn-cs"/>
                </a:rPr>
                <a:t>214 </a:t>
              </a:r>
            </a:p>
          </xdr:txBody>
        </xdr:sp>
        <xdr:sp macro="" textlink="">
          <xdr:nvSpPr>
            <xdr:cNvPr id="29" name="Rectangle: Rounded Corners 28">
              <a:extLst>
                <a:ext uri="{FF2B5EF4-FFF2-40B4-BE49-F238E27FC236}">
                  <a16:creationId xmlns:a16="http://schemas.microsoft.com/office/drawing/2014/main" id="{C7EB552A-4A3F-4028-A7F2-40B62C6F442F}"/>
                </a:ext>
              </a:extLst>
            </xdr:cNvPr>
            <xdr:cNvSpPr/>
          </xdr:nvSpPr>
          <xdr:spPr>
            <a:xfrm>
              <a:off x="16486532" y="-233521"/>
              <a:ext cx="2496414" cy="1162960"/>
            </a:xfrm>
            <a:prstGeom prst="roundRect">
              <a:avLst>
                <a:gd name="adj" fmla="val 50000"/>
              </a:avLst>
            </a:prstGeom>
            <a:effectLst>
              <a:innerShdw blurRad="63500" dist="50800" dir="16200000">
                <a:prstClr val="black">
                  <a:alpha val="50000"/>
                </a:prstClr>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3200" b="1" i="0" u="none" strike="noStrike" noProof="0">
                  <a:solidFill>
                    <a:schemeClr val="lt1"/>
                  </a:solidFill>
                  <a:effectLst/>
                  <a:latin typeface="+mn-lt"/>
                  <a:ea typeface="+mn-ea"/>
                  <a:cs typeface="+mn-cs"/>
                </a:rPr>
                <a:t>Avg Sales</a:t>
              </a:r>
            </a:p>
            <a:p>
              <a:pPr marL="0" marR="0" lvl="0" indent="0" algn="ctr" defTabSz="914400" eaLnBrk="1" fontAlgn="auto" latinLnBrk="0" hangingPunct="1">
                <a:lnSpc>
                  <a:spcPct val="100000"/>
                </a:lnSpc>
                <a:spcBef>
                  <a:spcPts val="0"/>
                </a:spcBef>
                <a:spcAft>
                  <a:spcPts val="0"/>
                </a:spcAft>
                <a:buClrTx/>
                <a:buSzTx/>
                <a:buFontTx/>
                <a:buNone/>
                <a:tabLst/>
                <a:defRPr/>
              </a:pPr>
              <a:r>
                <a:rPr lang="en-US" sz="3200" b="1" i="0" u="none" strike="noStrike" noProof="0">
                  <a:solidFill>
                    <a:schemeClr val="lt1"/>
                  </a:solidFill>
                  <a:effectLst/>
                  <a:latin typeface="+mn-lt"/>
                  <a:ea typeface="+mn-ea"/>
                  <a:cs typeface="+mn-cs"/>
                </a:rPr>
                <a:t>4,835.21</a:t>
              </a:r>
            </a:p>
          </xdr:txBody>
        </xdr:sp>
      </xdr:grpSp>
      <xdr:pic>
        <xdr:nvPicPr>
          <xdr:cNvPr id="22" name="Picture 21" descr="Free Logo Design PNG Transparent With Clear Background ID 101232 | TOPpng">
            <a:extLst>
              <a:ext uri="{FF2B5EF4-FFF2-40B4-BE49-F238E27FC236}">
                <a16:creationId xmlns:a16="http://schemas.microsoft.com/office/drawing/2014/main" id="{A7345648-4401-4B8D-9A68-4F7DAE7C6461}"/>
              </a:ext>
            </a:extLst>
          </xdr:cNvPr>
          <xdr:cNvPicPr>
            <a:picLocks noChangeAspect="1" noChangeArrowheads="1"/>
          </xdr:cNvPicPr>
        </xdr:nvPicPr>
        <xdr:blipFill rotWithShape="1">
          <a:blip xmlns:r="http://schemas.openxmlformats.org/officeDocument/2006/relationships" r:embed="rId6" cstate="print">
            <a:extLst>
              <a:ext uri="{BEBA8EAE-BF5A-486C-A8C5-ECC9F3942E4B}">
                <a14:imgProps xmlns:a14="http://schemas.microsoft.com/office/drawing/2010/main">
                  <a14:imgLayer r:embed="rId7">
                    <a14:imgEffect>
                      <a14:backgroundRemoval t="10000" b="90000" l="10000" r="90000"/>
                    </a14:imgEffect>
                  </a14:imgLayer>
                </a14:imgProps>
              </a:ext>
              <a:ext uri="{28A0092B-C50C-407E-A947-70E740481C1C}">
                <a14:useLocalDpi xmlns:a14="http://schemas.microsoft.com/office/drawing/2010/main" val="0"/>
              </a:ext>
            </a:extLst>
          </a:blip>
          <a:srcRect l="6741" t="14261" r="13540" b="13854"/>
          <a:stretch>
            <a:fillRect/>
          </a:stretch>
        </xdr:blipFill>
        <xdr:spPr bwMode="auto">
          <a:xfrm>
            <a:off x="34316477" y="294990"/>
            <a:ext cx="1447685" cy="1139347"/>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wsDr>
</file>

<file path=xl/drawings/drawing2.xml><?xml version="1.0" encoding="utf-8"?>
<xdr:wsDr xmlns:xdr="http://schemas.openxmlformats.org/drawingml/2006/spreadsheetDrawing" xmlns:a="http://schemas.openxmlformats.org/drawingml/2006/main">
  <xdr:twoCellAnchor>
    <xdr:from>
      <xdr:col>9</xdr:col>
      <xdr:colOff>0</xdr:colOff>
      <xdr:row>0</xdr:row>
      <xdr:rowOff>185736</xdr:rowOff>
    </xdr:from>
    <xdr:to>
      <xdr:col>16</xdr:col>
      <xdr:colOff>304800</xdr:colOff>
      <xdr:row>17</xdr:row>
      <xdr:rowOff>171449</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E94F497F-4B89-0076-D7BF-3444CA7FB80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486400" y="185736"/>
              <a:ext cx="4572000" cy="3094673"/>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95250</xdr:colOff>
      <xdr:row>0</xdr:row>
      <xdr:rowOff>176213</xdr:rowOff>
    </xdr:from>
    <xdr:to>
      <xdr:col>8</xdr:col>
      <xdr:colOff>552450</xdr:colOff>
      <xdr:row>17</xdr:row>
      <xdr:rowOff>152400</xdr:rowOff>
    </xdr:to>
    <xdr:graphicFrame macro="">
      <xdr:nvGraphicFramePr>
        <xdr:cNvPr id="3" name="Chart 2">
          <a:extLst>
            <a:ext uri="{FF2B5EF4-FFF2-40B4-BE49-F238E27FC236}">
              <a16:creationId xmlns:a16="http://schemas.microsoft.com/office/drawing/2014/main" id="{78ED3B81-9E6E-082D-A572-1F850DFA91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500062</xdr:colOff>
      <xdr:row>0</xdr:row>
      <xdr:rowOff>166687</xdr:rowOff>
    </xdr:from>
    <xdr:to>
      <xdr:col>36</xdr:col>
      <xdr:colOff>404812</xdr:colOff>
      <xdr:row>51</xdr:row>
      <xdr:rowOff>71437</xdr:rowOff>
    </xdr:to>
    <xdr:sp macro="" textlink="">
      <xdr:nvSpPr>
        <xdr:cNvPr id="18" name="Rectangle: Rounded Corners 17">
          <a:extLst>
            <a:ext uri="{FF2B5EF4-FFF2-40B4-BE49-F238E27FC236}">
              <a16:creationId xmlns:a16="http://schemas.microsoft.com/office/drawing/2014/main" id="{5887786B-C1B8-B241-C81A-DCA5071E21A4}"/>
            </a:ext>
          </a:extLst>
        </xdr:cNvPr>
        <xdr:cNvSpPr/>
      </xdr:nvSpPr>
      <xdr:spPr>
        <a:xfrm>
          <a:off x="500062" y="166687"/>
          <a:ext cx="22193250" cy="9620250"/>
        </a:xfrm>
        <a:prstGeom prst="roundRect">
          <a:avLst>
            <a:gd name="adj" fmla="val 2898"/>
          </a:avLst>
        </a:prstGeom>
        <a:solidFill>
          <a:schemeClr val="bg1">
            <a:lumMod val="85000"/>
          </a:schemeClr>
        </a:solidFill>
        <a:ln w="38100">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17319</xdr:colOff>
      <xdr:row>10</xdr:row>
      <xdr:rowOff>184315</xdr:rowOff>
    </xdr:from>
    <xdr:to>
      <xdr:col>11</xdr:col>
      <xdr:colOff>362940</xdr:colOff>
      <xdr:row>30</xdr:row>
      <xdr:rowOff>31915</xdr:rowOff>
    </xdr:to>
    <xdr:graphicFrame macro="">
      <xdr:nvGraphicFramePr>
        <xdr:cNvPr id="2" name="Chart 1">
          <a:extLst>
            <a:ext uri="{FF2B5EF4-FFF2-40B4-BE49-F238E27FC236}">
              <a16:creationId xmlns:a16="http://schemas.microsoft.com/office/drawing/2014/main" id="{954BC700-D245-4A74-8BC2-557A923541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9587</xdr:colOff>
      <xdr:row>10</xdr:row>
      <xdr:rowOff>175965</xdr:rowOff>
    </xdr:from>
    <xdr:to>
      <xdr:col>22</xdr:col>
      <xdr:colOff>219137</xdr:colOff>
      <xdr:row>30</xdr:row>
      <xdr:rowOff>23565</xdr:rowOff>
    </xdr:to>
    <xdr:graphicFrame macro="">
      <xdr:nvGraphicFramePr>
        <xdr:cNvPr id="3" name="Chart 2">
          <a:extLst>
            <a:ext uri="{FF2B5EF4-FFF2-40B4-BE49-F238E27FC236}">
              <a16:creationId xmlns:a16="http://schemas.microsoft.com/office/drawing/2014/main" id="{A5EF390C-7A79-4672-BD73-90BB9869CA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23</xdr:col>
      <xdr:colOff>12989</xdr:colOff>
      <xdr:row>11</xdr:row>
      <xdr:rowOff>19483</xdr:rowOff>
    </xdr:from>
    <xdr:to>
      <xdr:col>33</xdr:col>
      <xdr:colOff>222539</xdr:colOff>
      <xdr:row>30</xdr:row>
      <xdr:rowOff>57583</xdr:rowOff>
    </xdr:to>
    <xdr:graphicFrame macro="">
      <xdr:nvGraphicFramePr>
        <xdr:cNvPr id="4" name="Chart 3">
          <a:extLst>
            <a:ext uri="{FF2B5EF4-FFF2-40B4-BE49-F238E27FC236}">
              <a16:creationId xmlns:a16="http://schemas.microsoft.com/office/drawing/2014/main" id="{1B46B6E0-6C87-4793-BB78-C1AF7EC894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30926</xdr:colOff>
      <xdr:row>30</xdr:row>
      <xdr:rowOff>188026</xdr:rowOff>
    </xdr:from>
    <xdr:to>
      <xdr:col>11</xdr:col>
      <xdr:colOff>370362</xdr:colOff>
      <xdr:row>50</xdr:row>
      <xdr:rowOff>35626</xdr:rowOff>
    </xdr:to>
    <xdr:graphicFrame macro="">
      <xdr:nvGraphicFramePr>
        <xdr:cNvPr id="5" name="Chart 4">
          <a:extLst>
            <a:ext uri="{FF2B5EF4-FFF2-40B4-BE49-F238E27FC236}">
              <a16:creationId xmlns:a16="http://schemas.microsoft.com/office/drawing/2014/main" id="{CD137DB2-1EC1-46AF-8501-B23F14673F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6185</xdr:colOff>
      <xdr:row>31</xdr:row>
      <xdr:rowOff>16081</xdr:rowOff>
    </xdr:from>
    <xdr:to>
      <xdr:col>22</xdr:col>
      <xdr:colOff>208932</xdr:colOff>
      <xdr:row>50</xdr:row>
      <xdr:rowOff>54181</xdr:rowOff>
    </xdr:to>
    <xdr:graphicFrame macro="">
      <xdr:nvGraphicFramePr>
        <xdr:cNvPr id="6" name="Chart 5">
          <a:extLst>
            <a:ext uri="{FF2B5EF4-FFF2-40B4-BE49-F238E27FC236}">
              <a16:creationId xmlns:a16="http://schemas.microsoft.com/office/drawing/2014/main" id="{CD799D54-4DB4-4B11-B734-72E6A94525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33</xdr:col>
      <xdr:colOff>61913</xdr:colOff>
      <xdr:row>58</xdr:row>
      <xdr:rowOff>24653</xdr:rowOff>
    </xdr:from>
    <xdr:to>
      <xdr:col>40</xdr:col>
      <xdr:colOff>37738</xdr:colOff>
      <xdr:row>61</xdr:row>
      <xdr:rowOff>125506</xdr:rowOff>
    </xdr:to>
    <mc:AlternateContent xmlns:mc="http://schemas.openxmlformats.org/markup-compatibility/2006" xmlns:a14="http://schemas.microsoft.com/office/drawing/2010/main">
      <mc:Choice Requires="a14">
        <xdr:graphicFrame macro="">
          <xdr:nvGraphicFramePr>
            <xdr:cNvPr id="7" name="Quarter">
              <a:extLst>
                <a:ext uri="{FF2B5EF4-FFF2-40B4-BE49-F238E27FC236}">
                  <a16:creationId xmlns:a16="http://schemas.microsoft.com/office/drawing/2014/main" id="{14DBDE24-0EED-412D-9FB4-E99794D82C96}"/>
                </a:ext>
              </a:extLst>
            </xdr:cNvP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mlns="">
        <xdr:sp macro="" textlink="">
          <xdr:nvSpPr>
            <xdr:cNvPr id="0" name=""/>
            <xdr:cNvSpPr>
              <a:spLocks noTextEdit="1"/>
            </xdr:cNvSpPr>
          </xdr:nvSpPr>
          <xdr:spPr>
            <a:xfrm>
              <a:off x="20064413" y="11073653"/>
              <a:ext cx="4218780" cy="67235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33</xdr:col>
      <xdr:colOff>270664</xdr:colOff>
      <xdr:row>11</xdr:row>
      <xdr:rowOff>0</xdr:rowOff>
    </xdr:from>
    <xdr:to>
      <xdr:col>36</xdr:col>
      <xdr:colOff>242089</xdr:colOff>
      <xdr:row>15</xdr:row>
      <xdr:rowOff>152400</xdr:rowOff>
    </xdr:to>
    <mc:AlternateContent xmlns:mc="http://schemas.openxmlformats.org/markup-compatibility/2006" xmlns:a14="http://schemas.microsoft.com/office/drawing/2010/main">
      <mc:Choice Requires="a14">
        <xdr:graphicFrame macro="">
          <xdr:nvGraphicFramePr>
            <xdr:cNvPr id="8" name="Category">
              <a:extLst>
                <a:ext uri="{FF2B5EF4-FFF2-40B4-BE49-F238E27FC236}">
                  <a16:creationId xmlns:a16="http://schemas.microsoft.com/office/drawing/2014/main" id="{2D292D34-66DE-414F-9012-856DC32E264E}"/>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20273164" y="2095500"/>
              <a:ext cx="1789834" cy="914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29737</xdr:colOff>
      <xdr:row>6</xdr:row>
      <xdr:rowOff>100854</xdr:rowOff>
    </xdr:from>
    <xdr:to>
      <xdr:col>18</xdr:col>
      <xdr:colOff>47625</xdr:colOff>
      <xdr:row>10</xdr:row>
      <xdr:rowOff>95250</xdr:rowOff>
    </xdr:to>
    <mc:AlternateContent xmlns:mc="http://schemas.openxmlformats.org/markup-compatibility/2006" xmlns:a14="http://schemas.microsoft.com/office/drawing/2010/main">
      <mc:Choice Requires="a14">
        <xdr:graphicFrame macro="">
          <xdr:nvGraphicFramePr>
            <xdr:cNvPr id="9" name="Product">
              <a:extLst>
                <a:ext uri="{FF2B5EF4-FFF2-40B4-BE49-F238E27FC236}">
                  <a16:creationId xmlns:a16="http://schemas.microsoft.com/office/drawing/2014/main" id="{60F724FB-812B-46C7-8C5B-EAAD2E3FF6A9}"/>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635873" y="1243854"/>
              <a:ext cx="10322207" cy="75639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101975</xdr:colOff>
      <xdr:row>6</xdr:row>
      <xdr:rowOff>112459</xdr:rowOff>
    </xdr:from>
    <xdr:to>
      <xdr:col>32</xdr:col>
      <xdr:colOff>0</xdr:colOff>
      <xdr:row>10</xdr:row>
      <xdr:rowOff>81642</xdr:rowOff>
    </xdr:to>
    <mc:AlternateContent xmlns:mc="http://schemas.openxmlformats.org/markup-compatibility/2006" xmlns:a14="http://schemas.microsoft.com/office/drawing/2010/main">
      <mc:Choice Requires="a14">
        <xdr:graphicFrame macro="">
          <xdr:nvGraphicFramePr>
            <xdr:cNvPr id="10" name="Country">
              <a:extLst>
                <a:ext uri="{FF2B5EF4-FFF2-40B4-BE49-F238E27FC236}">
                  <a16:creationId xmlns:a16="http://schemas.microsoft.com/office/drawing/2014/main" id="{90BA2602-EEBE-4BC9-B4C7-8C9377893736}"/>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1012430" y="1255459"/>
              <a:ext cx="8383934" cy="73118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33</xdr:col>
      <xdr:colOff>288872</xdr:colOff>
      <xdr:row>16</xdr:row>
      <xdr:rowOff>4976</xdr:rowOff>
    </xdr:from>
    <xdr:to>
      <xdr:col>36</xdr:col>
      <xdr:colOff>260297</xdr:colOff>
      <xdr:row>23</xdr:row>
      <xdr:rowOff>124810</xdr:rowOff>
    </xdr:to>
    <mc:AlternateContent xmlns:mc="http://schemas.openxmlformats.org/markup-compatibility/2006" xmlns:a14="http://schemas.microsoft.com/office/drawing/2010/main">
      <mc:Choice Requires="a14">
        <xdr:graphicFrame macro="">
          <xdr:nvGraphicFramePr>
            <xdr:cNvPr id="11" name="Region">
              <a:extLst>
                <a:ext uri="{FF2B5EF4-FFF2-40B4-BE49-F238E27FC236}">
                  <a16:creationId xmlns:a16="http://schemas.microsoft.com/office/drawing/2014/main" id="{CB7709F6-0F4B-4F45-AEC9-6F2A0582226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0291372" y="3052976"/>
              <a:ext cx="1789834" cy="145333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23</xdr:col>
      <xdr:colOff>0</xdr:colOff>
      <xdr:row>31</xdr:row>
      <xdr:rowOff>0</xdr:rowOff>
    </xdr:from>
    <xdr:to>
      <xdr:col>33</xdr:col>
      <xdr:colOff>209550</xdr:colOff>
      <xdr:row>50</xdr:row>
      <xdr:rowOff>38100</xdr:rowOff>
    </xdr:to>
    <xdr:graphicFrame macro="">
      <xdr:nvGraphicFramePr>
        <xdr:cNvPr id="12" name="Chart 11">
          <a:extLst>
            <a:ext uri="{FF2B5EF4-FFF2-40B4-BE49-F238E27FC236}">
              <a16:creationId xmlns:a16="http://schemas.microsoft.com/office/drawing/2014/main" id="{E70E23B5-1479-4918-915B-A71847C22A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33</xdr:col>
      <xdr:colOff>595312</xdr:colOff>
      <xdr:row>44</xdr:row>
      <xdr:rowOff>47625</xdr:rowOff>
    </xdr:from>
    <xdr:to>
      <xdr:col>35</xdr:col>
      <xdr:colOff>271462</xdr:colOff>
      <xdr:row>49</xdr:row>
      <xdr:rowOff>9525</xdr:rowOff>
    </xdr:to>
    <xdr:pic>
      <xdr:nvPicPr>
        <xdr:cNvPr id="14" name="Graphic 13" descr="Call center with solid fill">
          <a:extLst>
            <a:ext uri="{FF2B5EF4-FFF2-40B4-BE49-F238E27FC236}">
              <a16:creationId xmlns:a16="http://schemas.microsoft.com/office/drawing/2014/main" id="{64D8C930-3B23-27C9-BEEE-BE08D3FE664D}"/>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21026437" y="8429625"/>
          <a:ext cx="914400" cy="914400"/>
        </a:xfrm>
        <a:prstGeom prst="rect">
          <a:avLst/>
        </a:prstGeom>
      </xdr:spPr>
    </xdr:pic>
    <xdr:clientData/>
  </xdr:twoCellAnchor>
  <xdr:twoCellAnchor editAs="oneCell">
    <xdr:from>
      <xdr:col>34</xdr:col>
      <xdr:colOff>23812</xdr:colOff>
      <xdr:row>6</xdr:row>
      <xdr:rowOff>71439</xdr:rowOff>
    </xdr:from>
    <xdr:to>
      <xdr:col>35</xdr:col>
      <xdr:colOff>381000</xdr:colOff>
      <xdr:row>11</xdr:row>
      <xdr:rowOff>5517</xdr:rowOff>
    </xdr:to>
    <xdr:pic>
      <xdr:nvPicPr>
        <xdr:cNvPr id="15" name="Picture 14" descr="Free Logo Design PNG Transparent With Clear Background ID 101232 | TOPpng">
          <a:extLst>
            <a:ext uri="{FF2B5EF4-FFF2-40B4-BE49-F238E27FC236}">
              <a16:creationId xmlns:a16="http://schemas.microsoft.com/office/drawing/2014/main" id="{E915B816-8425-015E-FBE0-9ABE72F442D2}"/>
            </a:ext>
          </a:extLst>
        </xdr:cNvPr>
        <xdr:cNvPicPr>
          <a:picLocks noChangeAspect="1" noChangeArrowheads="1"/>
        </xdr:cNvPicPr>
      </xdr:nvPicPr>
      <xdr:blipFill rotWithShape="1">
        <a:blip xmlns:r="http://schemas.openxmlformats.org/officeDocument/2006/relationships" r:embed="rId9" cstate="print">
          <a:extLst>
            <a:ext uri="{BEBA8EAE-BF5A-486C-A8C5-ECC9F3942E4B}">
              <a14:imgProps xmlns:a14="http://schemas.microsoft.com/office/drawing/2010/main">
                <a14:imgLayer r:embed="rId10">
                  <a14:imgEffect>
                    <a14:backgroundRemoval t="10000" b="90000" l="10000" r="90000"/>
                  </a14:imgEffect>
                </a14:imgLayer>
              </a14:imgProps>
            </a:ext>
            <a:ext uri="{28A0092B-C50C-407E-A947-70E740481C1C}">
              <a14:useLocalDpi xmlns:a14="http://schemas.microsoft.com/office/drawing/2010/main" val="0"/>
            </a:ext>
          </a:extLst>
        </a:blip>
        <a:srcRect l="6741" t="14261" r="13540" b="13854"/>
        <a:stretch>
          <a:fillRect/>
        </a:stretch>
      </xdr:blipFill>
      <xdr:spPr bwMode="auto">
        <a:xfrm>
          <a:off x="21074062" y="1214439"/>
          <a:ext cx="976313" cy="8865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33</xdr:col>
      <xdr:colOff>357187</xdr:colOff>
      <xdr:row>24</xdr:row>
      <xdr:rowOff>119062</xdr:rowOff>
    </xdr:from>
    <xdr:to>
      <xdr:col>36</xdr:col>
      <xdr:colOff>214312</xdr:colOff>
      <xdr:row>42</xdr:row>
      <xdr:rowOff>71437</xdr:rowOff>
    </xdr:to>
    <xdr:sp macro="" textlink="">
      <xdr:nvSpPr>
        <xdr:cNvPr id="17" name="Rectangle: Rounded Corners 16">
          <a:extLst>
            <a:ext uri="{FF2B5EF4-FFF2-40B4-BE49-F238E27FC236}">
              <a16:creationId xmlns:a16="http://schemas.microsoft.com/office/drawing/2014/main" id="{8D7496D0-74E1-28BD-7F3A-56FD5746597F}"/>
            </a:ext>
          </a:extLst>
        </xdr:cNvPr>
        <xdr:cNvSpPr/>
      </xdr:nvSpPr>
      <xdr:spPr>
        <a:xfrm>
          <a:off x="20788312" y="4691062"/>
          <a:ext cx="1714500" cy="3381375"/>
        </a:xfrm>
        <a:prstGeom prst="roundRect">
          <a:avLst/>
        </a:prstGeom>
        <a:blipFill>
          <a:blip xmlns:r="http://schemas.openxmlformats.org/officeDocument/2006/relationships" r:embed="rId11"/>
          <a:stretch>
            <a:fillRect/>
          </a:stretch>
        </a:blip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0</xdr:col>
      <xdr:colOff>588817</xdr:colOff>
      <xdr:row>1</xdr:row>
      <xdr:rowOff>95249</xdr:rowOff>
    </xdr:from>
    <xdr:ext cx="21578455" cy="781111"/>
    <xdr:sp macro="" textlink="">
      <xdr:nvSpPr>
        <xdr:cNvPr id="19" name="TextBox 18">
          <a:extLst>
            <a:ext uri="{FF2B5EF4-FFF2-40B4-BE49-F238E27FC236}">
              <a16:creationId xmlns:a16="http://schemas.microsoft.com/office/drawing/2014/main" id="{F3D7885D-91EE-DAD9-E3B7-5393FBF16DE3}"/>
            </a:ext>
          </a:extLst>
        </xdr:cNvPr>
        <xdr:cNvSpPr txBox="1"/>
      </xdr:nvSpPr>
      <xdr:spPr>
        <a:xfrm>
          <a:off x="588817" y="285749"/>
          <a:ext cx="21578455" cy="781111"/>
        </a:xfrm>
        <a:prstGeom prst="rect">
          <a:avLst/>
        </a:prstGeom>
        <a:solidFill>
          <a:schemeClr val="bg1">
            <a:lumMod val="65000"/>
          </a:schemeClr>
        </a:solid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4400">
              <a:solidFill>
                <a:schemeClr val="bg1"/>
              </a:solidFill>
            </a:rPr>
            <a:t>Seles Dashboard</a:t>
          </a:r>
        </a:p>
      </xdr:txBody>
    </xdr:sp>
    <xdr:clientData/>
  </xdr:oneCellAnchor>
  <xdr:twoCellAnchor editAs="oneCell">
    <xdr:from>
      <xdr:col>39</xdr:col>
      <xdr:colOff>23814</xdr:colOff>
      <xdr:row>34</xdr:row>
      <xdr:rowOff>166687</xdr:rowOff>
    </xdr:from>
    <xdr:to>
      <xdr:col>41</xdr:col>
      <xdr:colOff>187219</xdr:colOff>
      <xdr:row>42</xdr:row>
      <xdr:rowOff>23812</xdr:rowOff>
    </xdr:to>
    <xdr:pic>
      <xdr:nvPicPr>
        <xdr:cNvPr id="20" name="Picture 19" descr="Logo png Images - Free Download on Freepik">
          <a:extLst>
            <a:ext uri="{FF2B5EF4-FFF2-40B4-BE49-F238E27FC236}">
              <a16:creationId xmlns:a16="http://schemas.microsoft.com/office/drawing/2014/main" id="{77A09806-58F1-D1E3-331F-CDF1FE7CAA45}"/>
            </a:ext>
          </a:extLst>
        </xdr:cNvPr>
        <xdr:cNvPicPr>
          <a:picLocks noChangeAspect="1" noChangeArrowheads="1"/>
        </xdr:cNvPicPr>
      </xdr:nvPicPr>
      <xdr:blipFill>
        <a:blip xmlns:r="http://schemas.openxmlformats.org/officeDocument/2006/relationships" r:embed="rId12" cstate="print">
          <a:extLst>
            <a:ext uri="{BEBA8EAE-BF5A-486C-A8C5-ECC9F3942E4B}">
              <a14:imgProps xmlns:a14="http://schemas.microsoft.com/office/drawing/2010/main">
                <a14:imgLayer r:embed="rId13">
                  <a14:imgEffect>
                    <a14:backgroundRemoval t="10000" b="90000" l="10000" r="90000"/>
                  </a14:imgEffect>
                </a14:imgLayer>
              </a14:imgProps>
            </a:ext>
            <a:ext uri="{28A0092B-C50C-407E-A947-70E740481C1C}">
              <a14:useLocalDpi xmlns:a14="http://schemas.microsoft.com/office/drawing/2010/main" val="0"/>
            </a:ext>
          </a:extLst>
        </a:blip>
        <a:srcRect/>
        <a:stretch>
          <a:fillRect/>
        </a:stretch>
      </xdr:blipFill>
      <xdr:spPr bwMode="auto">
        <a:xfrm>
          <a:off x="24169689" y="6643687"/>
          <a:ext cx="1401655" cy="1381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absoluteAnchor>
    <xdr:pos x="0" y="0"/>
    <xdr:ext cx="8672015" cy="6297873"/>
    <xdr:graphicFrame macro="">
      <xdr:nvGraphicFramePr>
        <xdr:cNvPr id="2" name="Chart 1">
          <a:extLst>
            <a:ext uri="{FF2B5EF4-FFF2-40B4-BE49-F238E27FC236}">
              <a16:creationId xmlns:a16="http://schemas.microsoft.com/office/drawing/2014/main" id="{E92C7D6B-27C7-985B-12B0-0606A6D4D426}"/>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5.xml><?xml version="1.0" encoding="utf-8"?>
<xdr:wsDr xmlns:xdr="http://schemas.openxmlformats.org/drawingml/2006/spreadsheetDrawing" xmlns:a="http://schemas.openxmlformats.org/drawingml/2006/main">
  <xdr:twoCellAnchor>
    <xdr:from>
      <xdr:col>17</xdr:col>
      <xdr:colOff>771896</xdr:colOff>
      <xdr:row>7</xdr:row>
      <xdr:rowOff>0</xdr:rowOff>
    </xdr:from>
    <xdr:to>
      <xdr:col>20</xdr:col>
      <xdr:colOff>118753</xdr:colOff>
      <xdr:row>10</xdr:row>
      <xdr:rowOff>158338</xdr:rowOff>
    </xdr:to>
    <xdr:sp macro="" textlink="">
      <xdr:nvSpPr>
        <xdr:cNvPr id="21" name="Rectangle: Rounded Corners 20">
          <a:extLst>
            <a:ext uri="{FF2B5EF4-FFF2-40B4-BE49-F238E27FC236}">
              <a16:creationId xmlns:a16="http://schemas.microsoft.com/office/drawing/2014/main" id="{5AA0EE3E-F740-3DF5-0744-ED22FF5E7134}"/>
            </a:ext>
          </a:extLst>
        </xdr:cNvPr>
        <xdr:cNvSpPr/>
      </xdr:nvSpPr>
      <xdr:spPr>
        <a:xfrm>
          <a:off x="21227143" y="1316182"/>
          <a:ext cx="1791194" cy="692727"/>
        </a:xfrm>
        <a:prstGeom prst="roundRect">
          <a:avLst>
            <a:gd name="adj" fmla="val 30953"/>
          </a:avLst>
        </a:prstGeom>
        <a:effectLst>
          <a:innerShdw blurRad="63500" dist="50800" dir="16200000">
            <a:prstClr val="black">
              <a:alpha val="50000"/>
            </a:prstClr>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i="0" u="none" strike="noStrike">
              <a:solidFill>
                <a:schemeClr val="lt1"/>
              </a:solidFill>
              <a:effectLst/>
              <a:latin typeface="+mn-lt"/>
              <a:ea typeface="+mn-ea"/>
              <a:cs typeface="+mn-cs"/>
            </a:rPr>
            <a:t> </a:t>
          </a:r>
          <a:r>
            <a:rPr lang="en-US" sz="1600" b="1" i="0" u="none" strike="noStrike">
              <a:solidFill>
                <a:schemeClr val="lt1"/>
              </a:solidFill>
              <a:effectLst/>
              <a:latin typeface="+mn-lt"/>
              <a:ea typeface="+mn-ea"/>
              <a:cs typeface="+mn-cs"/>
            </a:rPr>
            <a:t>Total Sales </a:t>
          </a:r>
          <a:r>
            <a:rPr lang="en-US" sz="1600" b="1"/>
            <a:t> </a:t>
          </a:r>
          <a:r>
            <a:rPr lang="en-US" sz="1600" b="1" i="0" u="none" strike="noStrike">
              <a:solidFill>
                <a:schemeClr val="lt1"/>
              </a:solidFill>
              <a:effectLst/>
              <a:latin typeface="+mn-lt"/>
              <a:ea typeface="+mn-ea"/>
              <a:cs typeface="+mn-cs"/>
            </a:rPr>
            <a:t>       </a:t>
          </a:r>
          <a:r>
            <a:rPr lang="en-US" sz="1400" b="0" i="0" u="none" strike="noStrike">
              <a:solidFill>
                <a:schemeClr val="lt1"/>
              </a:solidFill>
              <a:effectLst/>
              <a:latin typeface="+mn-lt"/>
              <a:ea typeface="+mn-ea"/>
              <a:cs typeface="+mn-cs"/>
            </a:rPr>
            <a:t>1,034,734 </a:t>
          </a:r>
          <a:endParaRPr lang="en-US" sz="1100" b="0"/>
        </a:p>
      </xdr:txBody>
    </xdr:sp>
    <xdr:clientData/>
  </xdr:twoCellAnchor>
  <xdr:twoCellAnchor>
    <xdr:from>
      <xdr:col>20</xdr:col>
      <xdr:colOff>613558</xdr:colOff>
      <xdr:row>9</xdr:row>
      <xdr:rowOff>158338</xdr:rowOff>
    </xdr:from>
    <xdr:to>
      <xdr:col>22</xdr:col>
      <xdr:colOff>930233</xdr:colOff>
      <xdr:row>14</xdr:row>
      <xdr:rowOff>69273</xdr:rowOff>
    </xdr:to>
    <xdr:sp macro="" textlink="">
      <xdr:nvSpPr>
        <xdr:cNvPr id="22" name="Rectangle: Rounded Corners 21">
          <a:extLst>
            <a:ext uri="{FF2B5EF4-FFF2-40B4-BE49-F238E27FC236}">
              <a16:creationId xmlns:a16="http://schemas.microsoft.com/office/drawing/2014/main" id="{12B95CC9-24B8-4F4E-A97A-8C8C6ED1386B}"/>
            </a:ext>
          </a:extLst>
        </xdr:cNvPr>
        <xdr:cNvSpPr/>
      </xdr:nvSpPr>
      <xdr:spPr>
        <a:xfrm>
          <a:off x="23513142" y="1830780"/>
          <a:ext cx="2038597" cy="801584"/>
        </a:xfrm>
        <a:prstGeom prst="roundRect">
          <a:avLst>
            <a:gd name="adj" fmla="val 28484"/>
          </a:avLst>
        </a:prstGeom>
        <a:effectLst>
          <a:innerShdw blurRad="63500" dist="50800" dir="16200000">
            <a:prstClr val="black">
              <a:alpha val="50000"/>
            </a:prstClr>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i="0" u="none" strike="noStrike">
              <a:solidFill>
                <a:schemeClr val="lt1"/>
              </a:solidFill>
              <a:effectLst/>
              <a:latin typeface="+mn-lt"/>
              <a:ea typeface="+mn-ea"/>
              <a:cs typeface="+mn-cs"/>
            </a:rPr>
            <a:t> </a:t>
          </a:r>
          <a:r>
            <a:rPr lang="en-US" sz="1600" b="1" i="0" u="none" strike="noStrike">
              <a:solidFill>
                <a:schemeClr val="lt1"/>
              </a:solidFill>
              <a:effectLst/>
              <a:latin typeface="+mn-lt"/>
              <a:ea typeface="+mn-ea"/>
              <a:cs typeface="+mn-cs"/>
            </a:rPr>
            <a:t>No of order ID</a:t>
          </a:r>
        </a:p>
        <a:p>
          <a:pPr algn="ctr"/>
          <a:r>
            <a:rPr lang="en-US" sz="1600" b="1" i="0" u="none" strike="noStrike">
              <a:solidFill>
                <a:schemeClr val="lt1"/>
              </a:solidFill>
              <a:effectLst/>
              <a:latin typeface="+mn-lt"/>
              <a:ea typeface="+mn-ea"/>
              <a:cs typeface="+mn-cs"/>
            </a:rPr>
            <a:t>214</a:t>
          </a:r>
          <a:r>
            <a:rPr lang="en-US" sz="1400" b="0" i="0" u="none" strike="noStrike">
              <a:solidFill>
                <a:schemeClr val="lt1"/>
              </a:solidFill>
              <a:effectLst/>
              <a:latin typeface="+mn-lt"/>
              <a:ea typeface="+mn-ea"/>
              <a:cs typeface="+mn-cs"/>
            </a:rPr>
            <a:t> </a:t>
          </a:r>
          <a:endParaRPr lang="en-US" sz="1100" b="0"/>
        </a:p>
      </xdr:txBody>
    </xdr:sp>
    <xdr:clientData/>
  </xdr:twoCellAnchor>
  <xdr:twoCellAnchor>
    <xdr:from>
      <xdr:col>19</xdr:col>
      <xdr:colOff>366156</xdr:colOff>
      <xdr:row>17</xdr:row>
      <xdr:rowOff>158336</xdr:rowOff>
    </xdr:from>
    <xdr:to>
      <xdr:col>21</xdr:col>
      <xdr:colOff>158337</xdr:colOff>
      <xdr:row>21</xdr:row>
      <xdr:rowOff>138544</xdr:rowOff>
    </xdr:to>
    <xdr:sp macro="" textlink="">
      <xdr:nvSpPr>
        <xdr:cNvPr id="23" name="Rectangle: Rounded Corners 22">
          <a:extLst>
            <a:ext uri="{FF2B5EF4-FFF2-40B4-BE49-F238E27FC236}">
              <a16:creationId xmlns:a16="http://schemas.microsoft.com/office/drawing/2014/main" id="{67478937-5BCA-405E-B41B-46F076C1E185}"/>
            </a:ext>
          </a:extLst>
        </xdr:cNvPr>
        <xdr:cNvSpPr/>
      </xdr:nvSpPr>
      <xdr:spPr>
        <a:xfrm>
          <a:off x="22276130" y="3255817"/>
          <a:ext cx="1791194" cy="692727"/>
        </a:xfrm>
        <a:prstGeom prst="roundRect">
          <a:avLst>
            <a:gd name="adj" fmla="val 30953"/>
          </a:avLst>
        </a:prstGeom>
        <a:effectLst>
          <a:innerShdw blurRad="63500" dist="50800" dir="16200000">
            <a:prstClr val="black">
              <a:alpha val="50000"/>
            </a:prstClr>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200" b="1" i="0" u="none" strike="noStrike">
              <a:solidFill>
                <a:schemeClr val="lt1"/>
              </a:solidFill>
              <a:effectLst/>
              <a:latin typeface="+mn-lt"/>
              <a:ea typeface="+mn-ea"/>
              <a:cs typeface="+mn-cs"/>
            </a:rPr>
            <a:t>Avg Sales</a:t>
          </a:r>
        </a:p>
        <a:p>
          <a:pPr marL="0" indent="0" algn="ctr"/>
          <a:r>
            <a:rPr lang="en-US" sz="1200" b="1" i="0" u="none" strike="noStrike">
              <a:solidFill>
                <a:schemeClr val="lt1"/>
              </a:solidFill>
              <a:effectLst/>
              <a:latin typeface="+mn-lt"/>
              <a:ea typeface="+mn-ea"/>
              <a:cs typeface="+mn-cs"/>
            </a:rPr>
            <a:t>4,835.21</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280987</xdr:colOff>
      <xdr:row>0</xdr:row>
      <xdr:rowOff>185738</xdr:rowOff>
    </xdr:from>
    <xdr:to>
      <xdr:col>36</xdr:col>
      <xdr:colOff>538162</xdr:colOff>
      <xdr:row>51</xdr:row>
      <xdr:rowOff>90488</xdr:rowOff>
    </xdr:to>
    <xdr:sp macro="" textlink="">
      <xdr:nvSpPr>
        <xdr:cNvPr id="19" name="Rectangle: Rounded Corners 18">
          <a:extLst>
            <a:ext uri="{FF2B5EF4-FFF2-40B4-BE49-F238E27FC236}">
              <a16:creationId xmlns:a16="http://schemas.microsoft.com/office/drawing/2014/main" id="{EE2153A6-3664-48A8-9DC1-49117145772F}"/>
            </a:ext>
          </a:extLst>
        </xdr:cNvPr>
        <xdr:cNvSpPr/>
      </xdr:nvSpPr>
      <xdr:spPr>
        <a:xfrm>
          <a:off x="280987" y="185738"/>
          <a:ext cx="22545675" cy="9620250"/>
        </a:xfrm>
        <a:prstGeom prst="roundRect">
          <a:avLst>
            <a:gd name="adj" fmla="val 2898"/>
          </a:avLst>
        </a:prstGeom>
        <a:solidFill>
          <a:schemeClr val="bg1">
            <a:lumMod val="85000"/>
          </a:schemeClr>
        </a:solidFill>
        <a:ln w="38100">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clientData/>
  </xdr:twoCellAnchor>
  <xdr:twoCellAnchor>
    <xdr:from>
      <xdr:col>1</xdr:col>
      <xdr:colOff>17319</xdr:colOff>
      <xdr:row>14</xdr:row>
      <xdr:rowOff>184315</xdr:rowOff>
    </xdr:from>
    <xdr:to>
      <xdr:col>11</xdr:col>
      <xdr:colOff>362940</xdr:colOff>
      <xdr:row>34</xdr:row>
      <xdr:rowOff>31915</xdr:rowOff>
    </xdr:to>
    <xdr:graphicFrame macro="">
      <xdr:nvGraphicFramePr>
        <xdr:cNvPr id="3" name="Chart 2">
          <a:extLst>
            <a:ext uri="{FF2B5EF4-FFF2-40B4-BE49-F238E27FC236}">
              <a16:creationId xmlns:a16="http://schemas.microsoft.com/office/drawing/2014/main" id="{3EB079C1-5160-464D-80DD-14FA23B113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9587</xdr:colOff>
      <xdr:row>14</xdr:row>
      <xdr:rowOff>175965</xdr:rowOff>
    </xdr:from>
    <xdr:to>
      <xdr:col>22</xdr:col>
      <xdr:colOff>219137</xdr:colOff>
      <xdr:row>34</xdr:row>
      <xdr:rowOff>23565</xdr:rowOff>
    </xdr:to>
    <xdr:graphicFrame macro="">
      <xdr:nvGraphicFramePr>
        <xdr:cNvPr id="4" name="Chart 3">
          <a:extLst>
            <a:ext uri="{FF2B5EF4-FFF2-40B4-BE49-F238E27FC236}">
              <a16:creationId xmlns:a16="http://schemas.microsoft.com/office/drawing/2014/main" id="{9852A176-7110-4322-B65C-F6CC4832A5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23</xdr:col>
      <xdr:colOff>12989</xdr:colOff>
      <xdr:row>15</xdr:row>
      <xdr:rowOff>19483</xdr:rowOff>
    </xdr:from>
    <xdr:to>
      <xdr:col>33</xdr:col>
      <xdr:colOff>222539</xdr:colOff>
      <xdr:row>34</xdr:row>
      <xdr:rowOff>57583</xdr:rowOff>
    </xdr:to>
    <xdr:graphicFrame macro="">
      <xdr:nvGraphicFramePr>
        <xdr:cNvPr id="5" name="Chart 4">
          <a:extLst>
            <a:ext uri="{FF2B5EF4-FFF2-40B4-BE49-F238E27FC236}">
              <a16:creationId xmlns:a16="http://schemas.microsoft.com/office/drawing/2014/main" id="{994355AA-83B2-4B12-9C61-242C0BD0B9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30926</xdr:colOff>
      <xdr:row>34</xdr:row>
      <xdr:rowOff>188026</xdr:rowOff>
    </xdr:from>
    <xdr:to>
      <xdr:col>11</xdr:col>
      <xdr:colOff>370362</xdr:colOff>
      <xdr:row>54</xdr:row>
      <xdr:rowOff>35626</xdr:rowOff>
    </xdr:to>
    <xdr:graphicFrame macro="">
      <xdr:nvGraphicFramePr>
        <xdr:cNvPr id="6" name="Chart 5">
          <a:extLst>
            <a:ext uri="{FF2B5EF4-FFF2-40B4-BE49-F238E27FC236}">
              <a16:creationId xmlns:a16="http://schemas.microsoft.com/office/drawing/2014/main" id="{2173EB2E-026B-4649-B575-C9C0D32767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6185</xdr:colOff>
      <xdr:row>35</xdr:row>
      <xdr:rowOff>16081</xdr:rowOff>
    </xdr:from>
    <xdr:to>
      <xdr:col>22</xdr:col>
      <xdr:colOff>208932</xdr:colOff>
      <xdr:row>54</xdr:row>
      <xdr:rowOff>54181</xdr:rowOff>
    </xdr:to>
    <xdr:graphicFrame macro="">
      <xdr:nvGraphicFramePr>
        <xdr:cNvPr id="7" name="Chart 6">
          <a:extLst>
            <a:ext uri="{FF2B5EF4-FFF2-40B4-BE49-F238E27FC236}">
              <a16:creationId xmlns:a16="http://schemas.microsoft.com/office/drawing/2014/main" id="{A2462332-A583-46CA-8DC9-49E813CC6B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33</xdr:col>
      <xdr:colOff>61913</xdr:colOff>
      <xdr:row>62</xdr:row>
      <xdr:rowOff>24653</xdr:rowOff>
    </xdr:from>
    <xdr:to>
      <xdr:col>40</xdr:col>
      <xdr:colOff>37738</xdr:colOff>
      <xdr:row>65</xdr:row>
      <xdr:rowOff>125506</xdr:rowOff>
    </xdr:to>
    <mc:AlternateContent xmlns:mc="http://schemas.openxmlformats.org/markup-compatibility/2006" xmlns:a14="http://schemas.microsoft.com/office/drawing/2010/main">
      <mc:Choice Requires="a14">
        <xdr:graphicFrame macro="">
          <xdr:nvGraphicFramePr>
            <xdr:cNvPr id="8" name="Quarter 1">
              <a:extLst>
                <a:ext uri="{FF2B5EF4-FFF2-40B4-BE49-F238E27FC236}">
                  <a16:creationId xmlns:a16="http://schemas.microsoft.com/office/drawing/2014/main" id="{A1B2E731-9FC1-4402-A5E5-5AC8E480A5EC}"/>
                </a:ext>
              </a:extLst>
            </xdr:cNvPr>
            <xdr:cNvGraphicFramePr/>
          </xdr:nvGraphicFramePr>
          <xdr:xfrm>
            <a:off x="0" y="0"/>
            <a:ext cx="0" cy="0"/>
          </xdr:xfrm>
          <a:graphic>
            <a:graphicData uri="http://schemas.microsoft.com/office/drawing/2010/slicer">
              <sle:slicer xmlns:sle="http://schemas.microsoft.com/office/drawing/2010/slicer" name="Quarter 1"/>
            </a:graphicData>
          </a:graphic>
        </xdr:graphicFrame>
      </mc:Choice>
      <mc:Fallback xmlns="">
        <xdr:sp macro="" textlink="">
          <xdr:nvSpPr>
            <xdr:cNvPr id="0" name=""/>
            <xdr:cNvSpPr>
              <a:spLocks noTextEdit="1"/>
            </xdr:cNvSpPr>
          </xdr:nvSpPr>
          <xdr:spPr>
            <a:xfrm>
              <a:off x="20064413" y="12008835"/>
              <a:ext cx="4218780" cy="67235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33</xdr:col>
      <xdr:colOff>270664</xdr:colOff>
      <xdr:row>15</xdr:row>
      <xdr:rowOff>0</xdr:rowOff>
    </xdr:from>
    <xdr:to>
      <xdr:col>36</xdr:col>
      <xdr:colOff>242089</xdr:colOff>
      <xdr:row>19</xdr:row>
      <xdr:rowOff>152400</xdr:rowOff>
    </xdr:to>
    <mc:AlternateContent xmlns:mc="http://schemas.openxmlformats.org/markup-compatibility/2006" xmlns:a14="http://schemas.microsoft.com/office/drawing/2010/main">
      <mc:Choice Requires="a14">
        <xdr:graphicFrame macro="">
          <xdr:nvGraphicFramePr>
            <xdr:cNvPr id="9" name="Category 1">
              <a:extLst>
                <a:ext uri="{FF2B5EF4-FFF2-40B4-BE49-F238E27FC236}">
                  <a16:creationId xmlns:a16="http://schemas.microsoft.com/office/drawing/2014/main" id="{3464B34C-DD88-4430-90F8-36E89DCF594E}"/>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20273164" y="2857500"/>
              <a:ext cx="1789834" cy="914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29737</xdr:colOff>
      <xdr:row>10</xdr:row>
      <xdr:rowOff>100854</xdr:rowOff>
    </xdr:from>
    <xdr:to>
      <xdr:col>18</xdr:col>
      <xdr:colOff>47625</xdr:colOff>
      <xdr:row>14</xdr:row>
      <xdr:rowOff>95250</xdr:rowOff>
    </xdr:to>
    <mc:AlternateContent xmlns:mc="http://schemas.openxmlformats.org/markup-compatibility/2006" xmlns:a14="http://schemas.microsoft.com/office/drawing/2010/main">
      <mc:Choice Requires="a14">
        <xdr:graphicFrame macro="">
          <xdr:nvGraphicFramePr>
            <xdr:cNvPr id="10" name="Product 1">
              <a:extLst>
                <a:ext uri="{FF2B5EF4-FFF2-40B4-BE49-F238E27FC236}">
                  <a16:creationId xmlns:a16="http://schemas.microsoft.com/office/drawing/2014/main" id="{23B992B1-A4A4-4BFF-827A-A5044DBCBDB0}"/>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635873" y="2005854"/>
              <a:ext cx="10322207" cy="75639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101975</xdr:colOff>
      <xdr:row>10</xdr:row>
      <xdr:rowOff>112459</xdr:rowOff>
    </xdr:from>
    <xdr:to>
      <xdr:col>32</xdr:col>
      <xdr:colOff>0</xdr:colOff>
      <xdr:row>14</xdr:row>
      <xdr:rowOff>81642</xdr:rowOff>
    </xdr:to>
    <mc:AlternateContent xmlns:mc="http://schemas.openxmlformats.org/markup-compatibility/2006" xmlns:a14="http://schemas.microsoft.com/office/drawing/2010/main">
      <mc:Choice Requires="a14">
        <xdr:graphicFrame macro="">
          <xdr:nvGraphicFramePr>
            <xdr:cNvPr id="11" name="Country 1">
              <a:extLst>
                <a:ext uri="{FF2B5EF4-FFF2-40B4-BE49-F238E27FC236}">
                  <a16:creationId xmlns:a16="http://schemas.microsoft.com/office/drawing/2014/main" id="{861595A1-8C04-4DEB-81C5-CD540BBD4A7C}"/>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11012430" y="2017459"/>
              <a:ext cx="8383934" cy="73118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33</xdr:col>
      <xdr:colOff>288872</xdr:colOff>
      <xdr:row>20</xdr:row>
      <xdr:rowOff>4976</xdr:rowOff>
    </xdr:from>
    <xdr:to>
      <xdr:col>36</xdr:col>
      <xdr:colOff>260297</xdr:colOff>
      <xdr:row>27</xdr:row>
      <xdr:rowOff>124810</xdr:rowOff>
    </xdr:to>
    <mc:AlternateContent xmlns:mc="http://schemas.openxmlformats.org/markup-compatibility/2006" xmlns:a14="http://schemas.microsoft.com/office/drawing/2010/main">
      <mc:Choice Requires="a14">
        <xdr:graphicFrame macro="">
          <xdr:nvGraphicFramePr>
            <xdr:cNvPr id="12" name="Region 1">
              <a:extLst>
                <a:ext uri="{FF2B5EF4-FFF2-40B4-BE49-F238E27FC236}">
                  <a16:creationId xmlns:a16="http://schemas.microsoft.com/office/drawing/2014/main" id="{520C5730-8A58-4173-94EF-0FA060F6F4E3}"/>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20291372" y="3814976"/>
              <a:ext cx="1789834" cy="145333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23</xdr:col>
      <xdr:colOff>0</xdr:colOff>
      <xdr:row>35</xdr:row>
      <xdr:rowOff>0</xdr:rowOff>
    </xdr:from>
    <xdr:to>
      <xdr:col>33</xdr:col>
      <xdr:colOff>209550</xdr:colOff>
      <xdr:row>54</xdr:row>
      <xdr:rowOff>38100</xdr:rowOff>
    </xdr:to>
    <xdr:graphicFrame macro="">
      <xdr:nvGraphicFramePr>
        <xdr:cNvPr id="13" name="Chart 12">
          <a:extLst>
            <a:ext uri="{FF2B5EF4-FFF2-40B4-BE49-F238E27FC236}">
              <a16:creationId xmlns:a16="http://schemas.microsoft.com/office/drawing/2014/main" id="{A34BDE04-8441-493B-883A-0190FE7FE6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33</xdr:col>
      <xdr:colOff>595312</xdr:colOff>
      <xdr:row>48</xdr:row>
      <xdr:rowOff>47625</xdr:rowOff>
    </xdr:from>
    <xdr:to>
      <xdr:col>35</xdr:col>
      <xdr:colOff>271462</xdr:colOff>
      <xdr:row>53</xdr:row>
      <xdr:rowOff>9525</xdr:rowOff>
    </xdr:to>
    <xdr:pic>
      <xdr:nvPicPr>
        <xdr:cNvPr id="14" name="Graphic 13" descr="Call center with solid fill">
          <a:extLst>
            <a:ext uri="{FF2B5EF4-FFF2-40B4-BE49-F238E27FC236}">
              <a16:creationId xmlns:a16="http://schemas.microsoft.com/office/drawing/2014/main" id="{1D9335EF-7892-4FB9-95CD-9CA0982D98DE}"/>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20712112" y="8429625"/>
          <a:ext cx="895350" cy="914400"/>
        </a:xfrm>
        <a:prstGeom prst="rect">
          <a:avLst/>
        </a:prstGeom>
      </xdr:spPr>
    </xdr:pic>
    <xdr:clientData/>
  </xdr:twoCellAnchor>
  <xdr:twoCellAnchor editAs="oneCell">
    <xdr:from>
      <xdr:col>33</xdr:col>
      <xdr:colOff>462064</xdr:colOff>
      <xdr:row>7</xdr:row>
      <xdr:rowOff>17318</xdr:rowOff>
    </xdr:from>
    <xdr:to>
      <xdr:col>35</xdr:col>
      <xdr:colOff>554182</xdr:colOff>
      <xdr:row>13</xdr:row>
      <xdr:rowOff>74790</xdr:rowOff>
    </xdr:to>
    <xdr:pic>
      <xdr:nvPicPr>
        <xdr:cNvPr id="15" name="Picture 14" descr="Free Logo Design PNG Transparent With Clear Background ID 101232 | TOPpng">
          <a:extLst>
            <a:ext uri="{FF2B5EF4-FFF2-40B4-BE49-F238E27FC236}">
              <a16:creationId xmlns:a16="http://schemas.microsoft.com/office/drawing/2014/main" id="{182C4CEF-F6E8-4C95-AF44-F665BD0BF4D2}"/>
            </a:ext>
          </a:extLst>
        </xdr:cNvPr>
        <xdr:cNvPicPr>
          <a:picLocks noChangeAspect="1" noChangeArrowheads="1"/>
        </xdr:cNvPicPr>
      </xdr:nvPicPr>
      <xdr:blipFill rotWithShape="1">
        <a:blip xmlns:r="http://schemas.openxmlformats.org/officeDocument/2006/relationships" r:embed="rId9" cstate="print">
          <a:extLst>
            <a:ext uri="{BEBA8EAE-BF5A-486C-A8C5-ECC9F3942E4B}">
              <a14:imgProps xmlns:a14="http://schemas.microsoft.com/office/drawing/2010/main">
                <a14:imgLayer r:embed="rId10">
                  <a14:imgEffect>
                    <a14:backgroundRemoval t="10000" b="90000" l="10000" r="90000"/>
                  </a14:imgEffect>
                </a14:imgLayer>
              </a14:imgProps>
            </a:ext>
            <a:ext uri="{28A0092B-C50C-407E-A947-70E740481C1C}">
              <a14:useLocalDpi xmlns:a14="http://schemas.microsoft.com/office/drawing/2010/main" val="0"/>
            </a:ext>
          </a:extLst>
        </a:blip>
        <a:srcRect l="6741" t="14261" r="13540" b="13854"/>
        <a:stretch>
          <a:fillRect/>
        </a:stretch>
      </xdr:blipFill>
      <xdr:spPr bwMode="auto">
        <a:xfrm>
          <a:off x="20464564" y="1350818"/>
          <a:ext cx="1304391" cy="12004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33</xdr:col>
      <xdr:colOff>357187</xdr:colOff>
      <xdr:row>28</xdr:row>
      <xdr:rowOff>119062</xdr:rowOff>
    </xdr:from>
    <xdr:to>
      <xdr:col>36</xdr:col>
      <xdr:colOff>214312</xdr:colOff>
      <xdr:row>46</xdr:row>
      <xdr:rowOff>71437</xdr:rowOff>
    </xdr:to>
    <xdr:sp macro="" textlink="">
      <xdr:nvSpPr>
        <xdr:cNvPr id="16" name="Rectangle: Rounded Corners 15">
          <a:extLst>
            <a:ext uri="{FF2B5EF4-FFF2-40B4-BE49-F238E27FC236}">
              <a16:creationId xmlns:a16="http://schemas.microsoft.com/office/drawing/2014/main" id="{E3ACFD49-6CCE-4690-8591-FF3F0672318E}"/>
            </a:ext>
          </a:extLst>
        </xdr:cNvPr>
        <xdr:cNvSpPr/>
      </xdr:nvSpPr>
      <xdr:spPr>
        <a:xfrm>
          <a:off x="20473987" y="4691062"/>
          <a:ext cx="1685925" cy="3381375"/>
        </a:xfrm>
        <a:prstGeom prst="roundRect">
          <a:avLst/>
        </a:prstGeom>
        <a:blipFill>
          <a:blip xmlns:r="http://schemas.openxmlformats.org/officeDocument/2006/relationships" r:embed="rId11"/>
          <a:stretch>
            <a:fillRect/>
          </a:stretch>
        </a:blip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0</xdr:col>
      <xdr:colOff>588817</xdr:colOff>
      <xdr:row>1</xdr:row>
      <xdr:rowOff>95249</xdr:rowOff>
    </xdr:from>
    <xdr:ext cx="21578455" cy="781111"/>
    <xdr:sp macro="" textlink="">
      <xdr:nvSpPr>
        <xdr:cNvPr id="17" name="TextBox 16">
          <a:extLst>
            <a:ext uri="{FF2B5EF4-FFF2-40B4-BE49-F238E27FC236}">
              <a16:creationId xmlns:a16="http://schemas.microsoft.com/office/drawing/2014/main" id="{27ACC34C-775C-4986-B66E-19A2C9C0707E}"/>
            </a:ext>
          </a:extLst>
        </xdr:cNvPr>
        <xdr:cNvSpPr txBox="1"/>
      </xdr:nvSpPr>
      <xdr:spPr>
        <a:xfrm>
          <a:off x="588817" y="285749"/>
          <a:ext cx="21578455" cy="781111"/>
        </a:xfrm>
        <a:prstGeom prst="rect">
          <a:avLst/>
        </a:prstGeom>
        <a:solidFill>
          <a:schemeClr val="bg1">
            <a:lumMod val="65000"/>
          </a:schemeClr>
        </a:solid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4400">
              <a:solidFill>
                <a:schemeClr val="bg1"/>
              </a:solidFill>
            </a:rPr>
            <a:t>Seles Dashboard</a:t>
          </a:r>
        </a:p>
      </xdr:txBody>
    </xdr:sp>
    <xdr:clientData/>
  </xdr:oneCellAnchor>
  <xdr:twoCellAnchor editAs="oneCell">
    <xdr:from>
      <xdr:col>39</xdr:col>
      <xdr:colOff>23814</xdr:colOff>
      <xdr:row>38</xdr:row>
      <xdr:rowOff>166687</xdr:rowOff>
    </xdr:from>
    <xdr:to>
      <xdr:col>41</xdr:col>
      <xdr:colOff>187219</xdr:colOff>
      <xdr:row>46</xdr:row>
      <xdr:rowOff>23812</xdr:rowOff>
    </xdr:to>
    <xdr:pic>
      <xdr:nvPicPr>
        <xdr:cNvPr id="18" name="Picture 17" descr="Logo png Images - Free Download on Freepik">
          <a:extLst>
            <a:ext uri="{FF2B5EF4-FFF2-40B4-BE49-F238E27FC236}">
              <a16:creationId xmlns:a16="http://schemas.microsoft.com/office/drawing/2014/main" id="{E08D6C3D-0338-43BE-8047-60844AF18CB5}"/>
            </a:ext>
          </a:extLst>
        </xdr:cNvPr>
        <xdr:cNvPicPr>
          <a:picLocks noChangeAspect="1" noChangeArrowheads="1"/>
        </xdr:cNvPicPr>
      </xdr:nvPicPr>
      <xdr:blipFill>
        <a:blip xmlns:r="http://schemas.openxmlformats.org/officeDocument/2006/relationships" r:embed="rId12" cstate="print">
          <a:extLst>
            <a:ext uri="{BEBA8EAE-BF5A-486C-A8C5-ECC9F3942E4B}">
              <a14:imgProps xmlns:a14="http://schemas.microsoft.com/office/drawing/2010/main">
                <a14:imgLayer r:embed="rId13">
                  <a14:imgEffect>
                    <a14:backgroundRemoval t="10000" b="90000" l="10000" r="90000"/>
                  </a14:imgEffect>
                </a14:imgLayer>
              </a14:imgProps>
            </a:ext>
            <a:ext uri="{28A0092B-C50C-407E-A947-70E740481C1C}">
              <a14:useLocalDpi xmlns:a14="http://schemas.microsoft.com/office/drawing/2010/main" val="0"/>
            </a:ext>
          </a:extLst>
        </a:blip>
        <a:srcRect/>
        <a:stretch>
          <a:fillRect/>
        </a:stretch>
      </xdr:blipFill>
      <xdr:spPr bwMode="auto">
        <a:xfrm>
          <a:off x="23798214" y="6643687"/>
          <a:ext cx="1382605" cy="1381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352423</xdr:colOff>
      <xdr:row>6</xdr:row>
      <xdr:rowOff>14287</xdr:rowOff>
    </xdr:from>
    <xdr:to>
      <xdr:col>5</xdr:col>
      <xdr:colOff>567373</xdr:colOff>
      <xdr:row>9</xdr:row>
      <xdr:rowOff>49306</xdr:rowOff>
    </xdr:to>
    <xdr:grpSp>
      <xdr:nvGrpSpPr>
        <xdr:cNvPr id="24" name="Group 23">
          <a:extLst>
            <a:ext uri="{FF2B5EF4-FFF2-40B4-BE49-F238E27FC236}">
              <a16:creationId xmlns:a16="http://schemas.microsoft.com/office/drawing/2014/main" id="{D21049CB-3474-6915-1A78-06B31C6F0945}"/>
            </a:ext>
          </a:extLst>
        </xdr:cNvPr>
        <xdr:cNvGrpSpPr/>
      </xdr:nvGrpSpPr>
      <xdr:grpSpPr>
        <a:xfrm>
          <a:off x="962023" y="1094942"/>
          <a:ext cx="2653350" cy="575346"/>
          <a:chOff x="957541" y="1157287"/>
          <a:chExt cx="2635420" cy="606519"/>
        </a:xfrm>
        <a:scene3d>
          <a:camera prst="orthographicFront">
            <a:rot lat="0" lon="0" rev="0"/>
          </a:camera>
          <a:lightRig rig="soft" dir="t">
            <a:rot lat="0" lon="0" rev="0"/>
          </a:lightRig>
        </a:scene3d>
      </xdr:grpSpPr>
      <xdr:sp macro="" textlink="">
        <xdr:nvSpPr>
          <xdr:cNvPr id="20" name="Rectangle: Rounded Corners 19">
            <a:extLst>
              <a:ext uri="{FF2B5EF4-FFF2-40B4-BE49-F238E27FC236}">
                <a16:creationId xmlns:a16="http://schemas.microsoft.com/office/drawing/2014/main" id="{1949CE08-1ACF-78D8-FFDA-21F01F344454}"/>
              </a:ext>
            </a:extLst>
          </xdr:cNvPr>
          <xdr:cNvSpPr/>
        </xdr:nvSpPr>
        <xdr:spPr>
          <a:xfrm>
            <a:off x="957541" y="1157287"/>
            <a:ext cx="1278949" cy="585788"/>
          </a:xfrm>
          <a:prstGeom prst="roundRect">
            <a:avLst/>
          </a:prstGeom>
          <a:ln>
            <a:noFill/>
          </a:ln>
          <a:effectLst>
            <a:outerShdw blurRad="107950" dist="12700" dir="5400000" algn="ctr">
              <a:srgbClr val="000000"/>
            </a:outerShdw>
          </a:effectLst>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a:t>TS</a:t>
            </a:r>
          </a:p>
        </xdr:txBody>
      </xdr:sp>
      <xdr:sp macro="" textlink="PV!B15">
        <xdr:nvSpPr>
          <xdr:cNvPr id="23" name="Rectangle: Rounded Corners 22">
            <a:extLst>
              <a:ext uri="{FF2B5EF4-FFF2-40B4-BE49-F238E27FC236}">
                <a16:creationId xmlns:a16="http://schemas.microsoft.com/office/drawing/2014/main" id="{0169C683-0B6B-463B-A5A9-5622B012F0E8}"/>
              </a:ext>
            </a:extLst>
          </xdr:cNvPr>
          <xdr:cNvSpPr/>
        </xdr:nvSpPr>
        <xdr:spPr>
          <a:xfrm>
            <a:off x="2314012" y="1178018"/>
            <a:ext cx="1278949" cy="585788"/>
          </a:xfrm>
          <a:prstGeom prst="roundRect">
            <a:avLst/>
          </a:prstGeom>
          <a:ln>
            <a:noFill/>
          </a:ln>
          <a:effectLst>
            <a:outerShdw blurRad="107950" dist="12700" dir="5400000" algn="ctr">
              <a:srgbClr val="000000"/>
            </a:outerShdw>
          </a:effectLst>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40A494A7-9AAC-4452-B9A5-2EA35D4FF600}" type="TxLink">
              <a:rPr lang="en-US" sz="2000" b="1" i="1" u="none" strike="noStrike">
                <a:solidFill>
                  <a:schemeClr val="bg1"/>
                </a:solidFill>
                <a:latin typeface="Calibri"/>
                <a:ea typeface="Calibri"/>
                <a:cs typeface="Calibri"/>
              </a:rPr>
              <a:pPr algn="ctr"/>
              <a:t>42.81%</a:t>
            </a:fld>
            <a:endParaRPr lang="en-US" sz="4800" b="1" i="1">
              <a:solidFill>
                <a:schemeClr val="bg1"/>
              </a:solidFill>
            </a:endParaRPr>
          </a:p>
        </xdr:txBody>
      </xdr:sp>
    </xdr:grpSp>
    <xdr:clientData/>
  </xdr:twoCellAnchor>
  <xdr:twoCellAnchor>
    <xdr:from>
      <xdr:col>6</xdr:col>
      <xdr:colOff>168646</xdr:colOff>
      <xdr:row>6</xdr:row>
      <xdr:rowOff>32216</xdr:rowOff>
    </xdr:from>
    <xdr:to>
      <xdr:col>10</xdr:col>
      <xdr:colOff>383596</xdr:colOff>
      <xdr:row>9</xdr:row>
      <xdr:rowOff>67235</xdr:rowOff>
    </xdr:to>
    <xdr:grpSp>
      <xdr:nvGrpSpPr>
        <xdr:cNvPr id="25" name="Group 24">
          <a:extLst>
            <a:ext uri="{FF2B5EF4-FFF2-40B4-BE49-F238E27FC236}">
              <a16:creationId xmlns:a16="http://schemas.microsoft.com/office/drawing/2014/main" id="{081D7F3B-F209-45BD-A81F-18B807720871}"/>
            </a:ext>
          </a:extLst>
        </xdr:cNvPr>
        <xdr:cNvGrpSpPr/>
      </xdr:nvGrpSpPr>
      <xdr:grpSpPr>
        <a:xfrm>
          <a:off x="3826246" y="1112871"/>
          <a:ext cx="2653350" cy="575346"/>
          <a:chOff x="957541" y="1157287"/>
          <a:chExt cx="2635420" cy="606519"/>
        </a:xfrm>
        <a:scene3d>
          <a:camera prst="orthographicFront">
            <a:rot lat="0" lon="0" rev="0"/>
          </a:camera>
          <a:lightRig rig="soft" dir="t">
            <a:rot lat="0" lon="0" rev="0"/>
          </a:lightRig>
        </a:scene3d>
      </xdr:grpSpPr>
      <xdr:sp macro="" textlink="">
        <xdr:nvSpPr>
          <xdr:cNvPr id="26" name="Rectangle: Rounded Corners 25">
            <a:extLst>
              <a:ext uri="{FF2B5EF4-FFF2-40B4-BE49-F238E27FC236}">
                <a16:creationId xmlns:a16="http://schemas.microsoft.com/office/drawing/2014/main" id="{7C603735-BC8D-518E-A4FD-82E6EEFECA4E}"/>
              </a:ext>
            </a:extLst>
          </xdr:cNvPr>
          <xdr:cNvSpPr/>
        </xdr:nvSpPr>
        <xdr:spPr>
          <a:xfrm>
            <a:off x="957541" y="1157287"/>
            <a:ext cx="1278949" cy="585788"/>
          </a:xfrm>
          <a:prstGeom prst="roundRect">
            <a:avLst/>
          </a:prstGeom>
          <a:ln>
            <a:noFill/>
          </a:ln>
          <a:effectLst>
            <a:outerShdw blurRad="107950" dist="12700" dir="5400000" algn="ctr">
              <a:srgbClr val="000000"/>
            </a:outerShdw>
          </a:effectLst>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a:t>2019</a:t>
            </a:r>
          </a:p>
        </xdr:txBody>
      </xdr:sp>
      <xdr:sp macro="" textlink="PV!J27">
        <xdr:nvSpPr>
          <xdr:cNvPr id="27" name="Rectangle: Rounded Corners 26">
            <a:extLst>
              <a:ext uri="{FF2B5EF4-FFF2-40B4-BE49-F238E27FC236}">
                <a16:creationId xmlns:a16="http://schemas.microsoft.com/office/drawing/2014/main" id="{31308A30-539D-C129-5978-8F0B48F3C231}"/>
              </a:ext>
            </a:extLst>
          </xdr:cNvPr>
          <xdr:cNvSpPr/>
        </xdr:nvSpPr>
        <xdr:spPr>
          <a:xfrm>
            <a:off x="2314012" y="1178018"/>
            <a:ext cx="1278949" cy="585788"/>
          </a:xfrm>
          <a:prstGeom prst="roundRect">
            <a:avLst/>
          </a:prstGeom>
          <a:ln>
            <a:noFill/>
          </a:ln>
          <a:effectLst>
            <a:outerShdw blurRad="107950" dist="12700" dir="5400000" algn="ctr">
              <a:srgbClr val="000000"/>
            </a:outerShdw>
          </a:effectLst>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53DAEE5-FD79-4910-803A-10F4F2EC999D}" type="TxLink">
              <a:rPr lang="en-US" sz="2000" b="1" i="0" u="none" strike="noStrike">
                <a:solidFill>
                  <a:schemeClr val="bg1"/>
                </a:solidFill>
                <a:latin typeface="Calibri"/>
                <a:ea typeface="Calibri"/>
                <a:cs typeface="Calibri"/>
              </a:rPr>
              <a:pPr algn="ctr"/>
              <a:t>$12,779</a:t>
            </a:fld>
            <a:endParaRPr lang="en-US" sz="8000" b="1" i="1">
              <a:solidFill>
                <a:schemeClr val="bg1"/>
              </a:solidFill>
            </a:endParaRPr>
          </a:p>
        </xdr:txBody>
      </xdr:sp>
    </xdr:grpSp>
    <xdr:clientData/>
  </xdr:twoCellAnchor>
  <xdr:twoCellAnchor>
    <xdr:from>
      <xdr:col>10</xdr:col>
      <xdr:colOff>533958</xdr:colOff>
      <xdr:row>6</xdr:row>
      <xdr:rowOff>38940</xdr:rowOff>
    </xdr:from>
    <xdr:to>
      <xdr:col>12</xdr:col>
      <xdr:colOff>603106</xdr:colOff>
      <xdr:row>9</xdr:row>
      <xdr:rowOff>53228</xdr:rowOff>
    </xdr:to>
    <xdr:sp macro="" textlink="">
      <xdr:nvSpPr>
        <xdr:cNvPr id="29" name="Rectangle: Rounded Corners 28">
          <a:extLst>
            <a:ext uri="{FF2B5EF4-FFF2-40B4-BE49-F238E27FC236}">
              <a16:creationId xmlns:a16="http://schemas.microsoft.com/office/drawing/2014/main" id="{F354252D-23C8-CD96-7678-50A2732FB945}"/>
            </a:ext>
          </a:extLst>
        </xdr:cNvPr>
        <xdr:cNvSpPr/>
      </xdr:nvSpPr>
      <xdr:spPr>
        <a:xfrm>
          <a:off x="6595322" y="1181940"/>
          <a:ext cx="1281420" cy="585788"/>
        </a:xfrm>
        <a:prstGeom prst="roundRect">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2400">
              <a:solidFill>
                <a:schemeClr val="lt1"/>
              </a:solidFill>
              <a:latin typeface="+mn-lt"/>
              <a:ea typeface="+mn-ea"/>
              <a:cs typeface="+mn-cs"/>
            </a:rPr>
            <a:t>2020</a:t>
          </a:r>
        </a:p>
      </xdr:txBody>
    </xdr:sp>
    <xdr:clientData/>
  </xdr:twoCellAnchor>
  <xdr:twoCellAnchor>
    <xdr:from>
      <xdr:col>13</xdr:col>
      <xdr:colOff>74641</xdr:colOff>
      <xdr:row>6</xdr:row>
      <xdr:rowOff>59671</xdr:rowOff>
    </xdr:from>
    <xdr:to>
      <xdr:col>15</xdr:col>
      <xdr:colOff>143789</xdr:colOff>
      <xdr:row>9</xdr:row>
      <xdr:rowOff>73959</xdr:rowOff>
    </xdr:to>
    <xdr:sp macro="" textlink="PV!J28">
      <xdr:nvSpPr>
        <xdr:cNvPr id="30" name="Rectangle: Rounded Corners 29">
          <a:extLst>
            <a:ext uri="{FF2B5EF4-FFF2-40B4-BE49-F238E27FC236}">
              <a16:creationId xmlns:a16="http://schemas.microsoft.com/office/drawing/2014/main" id="{0ED40EAA-3CED-CC43-E849-C0B820A89AC6}"/>
            </a:ext>
          </a:extLst>
        </xdr:cNvPr>
        <xdr:cNvSpPr/>
      </xdr:nvSpPr>
      <xdr:spPr>
        <a:xfrm>
          <a:off x="7954414" y="1202671"/>
          <a:ext cx="1281420" cy="585788"/>
        </a:xfrm>
        <a:prstGeom prst="roundRect">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F5BFBEF4-2C20-4E9D-A075-78B49CD1BFFA}" type="TxLink">
            <a:rPr lang="en-US" sz="2400">
              <a:solidFill>
                <a:schemeClr val="lt1"/>
              </a:solidFill>
              <a:latin typeface="+mn-lt"/>
              <a:ea typeface="+mn-ea"/>
              <a:cs typeface="+mn-cs"/>
            </a:rPr>
            <a:pPr marL="0" indent="0" algn="ctr"/>
            <a:t>$142,389</a:t>
          </a:fld>
          <a:endParaRPr lang="en-US" sz="2400">
            <a:solidFill>
              <a:schemeClr val="lt1"/>
            </a:solidFill>
            <a:latin typeface="+mn-lt"/>
            <a:ea typeface="+mn-ea"/>
            <a:cs typeface="+mn-cs"/>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hmed Ismail" refreshedDate="46022.909859953703" createdVersion="8" refreshedVersion="8" minRefreshableVersion="3" recordCount="214" xr:uid="{5BFD17E4-2FAB-439F-8225-70FC84350B84}">
  <cacheSource type="worksheet">
    <worksheetSource name="Data"/>
  </cacheSource>
  <cacheFields count="13">
    <cacheField name="Order ID" numFmtId="0">
      <sharedItems containsSemiMixedTypes="0" containsString="0" containsNumber="1" containsInteger="1" minValue="1" maxValue="214" count="214">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sharedItems>
    </cacheField>
    <cacheField name="Date" numFmtId="14">
      <sharedItems containsSemiMixedTypes="0" containsNonDate="0" containsDate="1" containsString="0" minDate="2019-07-15T00:00:00" maxDate="2020-10-20T00:00:00" count="158">
        <d v="2019-07-15T00:00:00"/>
        <d v="2019-07-19T00:00:00"/>
        <d v="2019-07-26T00:00:00"/>
        <d v="2019-08-11T00:00:00"/>
        <d v="2019-08-15T00:00:00"/>
        <d v="2019-08-22T00:00:00"/>
        <d v="2019-08-24T00:00:00"/>
        <d v="2019-09-15T00:00:00"/>
        <d v="2019-09-17T00:00:00"/>
        <d v="2019-10-16T00:00:00"/>
        <d v="2019-10-25T00:00:00"/>
        <d v="2019-11-05T00:00:00"/>
        <d v="2019-11-19T00:00:00"/>
        <d v="2019-11-27T00:00:00"/>
        <d v="2019-11-25T00:00:00"/>
        <d v="2019-11-29T00:00:00"/>
        <d v="2019-12-25T00:00:00"/>
        <d v="2019-12-27T00:00:00"/>
        <d v="2019-12-30T00:00:00"/>
        <d v="2020-01-15T00:00:00"/>
        <d v="2020-01-25T00:00:00"/>
        <d v="2020-01-29T00:00:00"/>
        <d v="2020-01-01T00:00:00"/>
        <d v="2020-01-02T00:00:00"/>
        <d v="2020-01-03T00:00:00"/>
        <d v="2020-01-09T00:00:00"/>
        <d v="2020-01-11T00:00:00"/>
        <d v="2020-01-12T00:00:00"/>
        <d v="2020-01-13T00:00:00"/>
        <d v="2020-01-16T00:00:00"/>
        <d v="2020-01-17T00:00:00"/>
        <d v="2020-01-23T00:00:00"/>
        <d v="2020-01-24T00:00:00"/>
        <d v="2020-01-26T00:00:00"/>
        <d v="2020-01-28T00:00:00"/>
        <d v="2020-02-01T00:00:00"/>
        <d v="2020-02-02T00:00:00"/>
        <d v="2020-02-03T00:00:00"/>
        <d v="2020-02-10T00:00:00"/>
        <d v="2020-02-14T00:00:00"/>
        <d v="2020-02-15T00:00:00"/>
        <d v="2020-02-17T00:00:00"/>
        <d v="2020-02-19T00:00:00"/>
        <d v="2020-02-21T00:00:00"/>
        <d v="2020-02-22T00:00:00"/>
        <d v="2020-02-25T00:00:00"/>
        <d v="2020-02-26T00:00:00"/>
        <d v="2020-02-27T00:00:00"/>
        <d v="2020-03-01T00:00:00"/>
        <d v="2020-03-02T00:00:00"/>
        <d v="2020-03-04T00:00:00"/>
        <d v="2020-03-07T00:00:00"/>
        <d v="2020-03-11T00:00:00"/>
        <d v="2020-03-13T00:00:00"/>
        <d v="2020-03-15T00:00:00"/>
        <d v="2020-03-16T00:00:00"/>
        <d v="2020-03-17T00:00:00"/>
        <d v="2020-03-19T00:00:00"/>
        <d v="2020-03-21T00:00:00"/>
        <d v="2020-03-22T00:00:00"/>
        <d v="2020-03-24T00:00:00"/>
        <d v="2020-04-03T00:00:00"/>
        <d v="2020-04-05T00:00:00"/>
        <d v="2020-04-06T00:00:00"/>
        <d v="2020-04-09T00:00:00"/>
        <d v="2020-04-10T00:00:00"/>
        <d v="2020-04-11T00:00:00"/>
        <d v="2020-04-12T00:00:00"/>
        <d v="2020-04-14T00:00:00"/>
        <d v="2020-04-18T00:00:00"/>
        <d v="2020-04-20T00:00:00"/>
        <d v="2020-04-24T00:00:00"/>
        <d v="2020-04-26T00:00:00"/>
        <d v="2020-04-27T00:00:00"/>
        <d v="2020-04-28T00:00:00"/>
        <d v="2020-04-30T00:00:00"/>
        <d v="2020-05-01T00:00:00"/>
        <d v="2020-05-02T00:00:00"/>
        <d v="2020-05-04T00:00:00"/>
        <d v="2020-05-05T00:00:00"/>
        <d v="2020-05-06T00:00:00"/>
        <d v="2020-05-08T00:00:00"/>
        <d v="2020-05-10T00:00:00"/>
        <d v="2020-05-13T00:00:00"/>
        <d v="2020-05-14T00:00:00"/>
        <d v="2020-05-16T00:00:00"/>
        <d v="2020-05-20T00:00:00"/>
        <d v="2020-05-21T00:00:00"/>
        <d v="2020-05-22T00:00:00"/>
        <d v="2020-05-23T00:00:00"/>
        <d v="2020-05-24T00:00:00"/>
        <d v="2020-05-26T00:00:00"/>
        <d v="2020-05-27T00:00:00"/>
        <d v="2020-05-28T00:00:00"/>
        <d v="2020-05-29T00:00:00"/>
        <d v="2020-06-01T00:00:00"/>
        <d v="2020-06-06T00:00:00"/>
        <d v="2020-06-07T00:00:00"/>
        <d v="2020-06-09T00:00:00"/>
        <d v="2020-06-10T00:00:00"/>
        <d v="2020-06-13T00:00:00"/>
        <d v="2020-06-16T00:00:00"/>
        <d v="2020-06-19T00:00:00"/>
        <d v="2020-06-20T00:00:00"/>
        <d v="2020-06-26T00:00:00"/>
        <d v="2020-06-28T00:00:00"/>
        <d v="2020-07-02T00:00:00"/>
        <d v="2020-07-07T00:00:00"/>
        <d v="2020-07-08T00:00:00"/>
        <d v="2020-07-09T00:00:00"/>
        <d v="2020-07-10T00:00:00"/>
        <d v="2020-07-19T00:00:00"/>
        <d v="2020-07-20T00:00:00"/>
        <d v="2020-07-22T00:00:00"/>
        <d v="2020-07-23T00:00:00"/>
        <d v="2020-07-29T00:00:00"/>
        <d v="2020-08-01T00:00:00"/>
        <d v="2020-08-02T00:00:00"/>
        <d v="2020-08-06T00:00:00"/>
        <d v="2020-08-07T00:00:00"/>
        <d v="2020-08-09T00:00:00"/>
        <d v="2020-08-10T00:00:00"/>
        <d v="2020-08-11T00:00:00"/>
        <d v="2020-08-15T00:00:00"/>
        <d v="2020-08-16T00:00:00"/>
        <d v="2020-08-17T00:00:00"/>
        <d v="2020-08-21T00:00:00"/>
        <d v="2020-08-22T00:00:00"/>
        <d v="2020-08-24T00:00:00"/>
        <d v="2020-08-27T00:00:00"/>
        <d v="2020-08-30T00:00:00"/>
        <d v="2020-09-01T00:00:00"/>
        <d v="2020-09-02T00:00:00"/>
        <d v="2020-09-03T00:00:00"/>
        <d v="2020-09-06T00:00:00"/>
        <d v="2020-09-08T00:00:00"/>
        <d v="2020-09-09T00:00:00"/>
        <d v="2020-09-11T00:00:00"/>
        <d v="2020-09-15T00:00:00"/>
        <d v="2020-09-16T00:00:00"/>
        <d v="2020-09-18T00:00:00"/>
        <d v="2020-09-20T00:00:00"/>
        <d v="2020-09-24T00:00:00"/>
        <d v="2020-09-25T00:00:00"/>
        <d v="2020-09-26T00:00:00"/>
        <d v="2020-09-27T00:00:00"/>
        <d v="2020-09-28T00:00:00"/>
        <d v="2020-09-29T00:00:00"/>
        <d v="2020-09-30T00:00:00"/>
        <d v="2020-10-07T00:00:00"/>
        <d v="2020-10-08T00:00:00"/>
        <d v="2020-10-09T00:00:00"/>
        <d v="2020-10-10T00:00:00"/>
        <d v="2020-10-12T00:00:00"/>
        <d v="2020-10-14T00:00:00"/>
        <d v="2020-10-15T00:00:00"/>
        <d v="2020-10-18T00:00:00"/>
        <d v="2020-10-19T00:00:00"/>
      </sharedItems>
      <fieldGroup par="12"/>
    </cacheField>
    <cacheField name="Product" numFmtId="0">
      <sharedItems count="7">
        <s v="Carrots"/>
        <s v="Broccoli"/>
        <s v="Banana"/>
        <s v="Beans"/>
        <s v="Orange"/>
        <s v="Apple"/>
        <s v="Mango"/>
      </sharedItems>
    </cacheField>
    <cacheField name="Category" numFmtId="0">
      <sharedItems count="2">
        <s v="Vegetables"/>
        <s v="Fruit"/>
      </sharedItems>
    </cacheField>
    <cacheField name="Country" numFmtId="0">
      <sharedItems count="8">
        <s v="US"/>
        <s v="UK"/>
        <s v="Canada"/>
        <s v="Germany"/>
        <s v="Australia"/>
        <s v="New Zealand"/>
        <s v="France"/>
        <s v="EGY"/>
      </sharedItems>
    </cacheField>
    <cacheField name="Region" numFmtId="0">
      <sharedItems count="4">
        <s v="South"/>
        <s v="East"/>
        <s v="North"/>
        <s v="West"/>
      </sharedItems>
    </cacheField>
    <cacheField name="Month" numFmtId="0">
      <sharedItems count="13">
        <s v="July"/>
        <s v="August"/>
        <s v="September"/>
        <s v="October"/>
        <s v="November"/>
        <s v="December"/>
        <s v="January"/>
        <s v="February"/>
        <s v="March"/>
        <s v="April"/>
        <s v="May"/>
        <s v="June"/>
        <s v="Sept ember"/>
      </sharedItems>
    </cacheField>
    <cacheField name="Year" numFmtId="0">
      <sharedItems containsSemiMixedTypes="0" containsString="0" containsNumber="1" containsInteger="1" minValue="2019" maxValue="2020" count="2">
        <n v="2019"/>
        <n v="2020"/>
      </sharedItems>
    </cacheField>
    <cacheField name="Quarter" numFmtId="0">
      <sharedItems count="4">
        <s v="Q3"/>
        <s v="Q4"/>
        <s v="Q1"/>
        <s v="Q2"/>
      </sharedItems>
    </cacheField>
    <cacheField name="Amount" numFmtId="164">
      <sharedItems containsSemiMixedTypes="0" containsString="0" containsNumber="1" containsInteger="1" minValue="107" maxValue="9990"/>
    </cacheField>
    <cacheField name="Months (Date)" numFmtId="0" databaseField="0">
      <fieldGroup base="1">
        <rangePr groupBy="months" startDate="2019-07-15T00:00:00" endDate="2020-10-20T00:00:00"/>
        <groupItems count="14">
          <s v="&lt;7/15/2019"/>
          <s v="Jan"/>
          <s v="Feb"/>
          <s v="Mar"/>
          <s v="Apr"/>
          <s v="May"/>
          <s v="Jun"/>
          <s v="Jul"/>
          <s v="Aug"/>
          <s v="Sep"/>
          <s v="Oct"/>
          <s v="Nov"/>
          <s v="Dec"/>
          <s v="&gt;10/20/2020"/>
        </groupItems>
      </fieldGroup>
    </cacheField>
    <cacheField name="Quarters (Date)" numFmtId="0" databaseField="0">
      <fieldGroup base="1">
        <rangePr groupBy="quarters" startDate="2019-07-15T00:00:00" endDate="2020-10-20T00:00:00"/>
        <groupItems count="6">
          <s v="&lt;7/15/2019"/>
          <s v="Qtr1"/>
          <s v="Qtr2"/>
          <s v="Qtr3"/>
          <s v="Qtr4"/>
          <s v="&gt;10/20/2020"/>
        </groupItems>
      </fieldGroup>
    </cacheField>
    <cacheField name="Years (Date)" numFmtId="0" databaseField="0">
      <fieldGroup base="1">
        <rangePr groupBy="years" startDate="2019-07-15T00:00:00" endDate="2020-10-20T00:00:00"/>
        <groupItems count="4">
          <s v="&lt;7/15/2019"/>
          <s v="2019"/>
          <s v="2020"/>
          <s v="&gt;10/20/2020"/>
        </groupItems>
      </fieldGroup>
    </cacheField>
  </cacheFields>
  <extLst>
    <ext xmlns:x14="http://schemas.microsoft.com/office/spreadsheetml/2009/9/main" uri="{725AE2AE-9491-48be-B2B4-4EB974FC3084}">
      <x14:pivotCacheDefinition pivotCacheId="170070972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med" refreshedDate="46043.806658796297" backgroundQuery="1" createdVersion="8" refreshedVersion="8" minRefreshableVersion="3" recordCount="0" supportSubquery="1" supportAdvancedDrill="1" xr:uid="{706DAAF3-E1C2-43EC-ACE6-2E29B53C3B16}">
  <cacheSource type="external" connectionId="2"/>
  <cacheFields count="3">
    <cacheField name="[Measures].[Sum of Amount]" caption="Sum of Amount" numFmtId="0" hierarchy="12" level="32767"/>
    <cacheField name="[Data].[Category].[Category]" caption="Category" numFmtId="0" hierarchy="3" level="1">
      <sharedItems count="2">
        <s v="Fruit"/>
        <s v="Vegetables"/>
      </sharedItems>
    </cacheField>
    <cacheField name="[Data].[Country].[Country]" caption="Country" numFmtId="0" hierarchy="4" level="1">
      <sharedItems containsSemiMixedTypes="0" containsNonDate="0" containsString="0"/>
    </cacheField>
  </cacheFields>
  <cacheHierarchies count="17">
    <cacheHierarchy uniqueName="[Data].[Order ID]" caption="Order ID" attribute="1" defaultMemberUniqueName="[Data].[Order ID].[All]" allUniqueName="[Data].[Order ID].[All]" dimensionUniqueName="[Data]" displayFolder="" count="2" memberValueDatatype="20" unbalanced="0"/>
    <cacheHierarchy uniqueName="[Data].[Date]" caption="Date" attribute="1" time="1" defaultMemberUniqueName="[Data].[Date].[All]" allUniqueName="[Data].[Date].[All]" dimensionUniqueName="[Data]" displayFolder="" count="2" memberValueDatatype="7" unbalanced="0"/>
    <cacheHierarchy uniqueName="[Data].[Product]" caption="Product" attribute="1" defaultMemberUniqueName="[Data].[Product].[All]" allUniqueName="[Data].[Product].[All]" dimensionUniqueName="[Data]" displayFolder="" count="2" memberValueDatatype="130" unbalanced="0"/>
    <cacheHierarchy uniqueName="[Data].[Category]" caption="Category" attribute="1" defaultMemberUniqueName="[Data].[Category].[All]" allUniqueName="[Data].[Category].[All]" dimensionUniqueName="[Data]" displayFolder="" count="2" memberValueDatatype="130" unbalanced="0">
      <fieldsUsage count="2">
        <fieldUsage x="-1"/>
        <fieldUsage x="1"/>
      </fieldsUsage>
    </cacheHierarchy>
    <cacheHierarchy uniqueName="[Data].[Country]" caption="Country" attribute="1" defaultMemberUniqueName="[Data].[Country].[All]" allUniqueName="[Data].[Country].[All]" dimensionUniqueName="[Data]" displayFolder="" count="2" memberValueDatatype="130" unbalanced="0">
      <fieldsUsage count="2">
        <fieldUsage x="-1"/>
        <fieldUsage x="2"/>
      </fieldsUsage>
    </cacheHierarchy>
    <cacheHierarchy uniqueName="[Data].[Region]" caption="Region" attribute="1" defaultMemberUniqueName="[Data].[Region].[All]" allUniqueName="[Data].[Region].[All]" dimensionUniqueName="[Data]" displayFolder="" count="2" memberValueDatatype="130" unbalanced="0"/>
    <cacheHierarchy uniqueName="[Data].[Month]" caption="Month" attribute="1" defaultMemberUniqueName="[Data].[Month].[All]" allUniqueName="[Data].[Month].[All]" dimensionUniqueName="[Data]" displayFolder="" count="2" memberValueDatatype="130" unbalanced="0"/>
    <cacheHierarchy uniqueName="[Data].[Year]" caption="Year" attribute="1" defaultMemberUniqueName="[Data].[Year].[All]" allUniqueName="[Data].[Year].[All]" dimensionUniqueName="[Data]" displayFolder="" count="2" memberValueDatatype="20" unbalanced="0"/>
    <cacheHierarchy uniqueName="[Data].[Quarter]" caption="Quarter" attribute="1" defaultMemberUniqueName="[Data].[Quarter].[All]" allUniqueName="[Data].[Quarter].[All]" dimensionUniqueName="[Data]" displayFolder="" count="2" memberValueDatatype="130" unbalanced="0"/>
    <cacheHierarchy uniqueName="[Data].[Amount]" caption="Amount" attribute="1" defaultMemberUniqueName="[Data].[Amount].[All]" allUniqueName="[Data].[Amount].[All]" dimensionUniqueName="[Data]" displayFolder="" count="2" memberValueDatatype="20" unbalanced="0"/>
    <cacheHierarchy uniqueName="[Measures].[__XL_Count Data]" caption="__XL_Count Data" measure="1" displayFolder="" measureGroup="Data" count="0" hidden="1"/>
    <cacheHierarchy uniqueName="[Measures].[__No measures defined]" caption="__No measures defined" measure="1" displayFolder="" count="0" hidden="1"/>
    <cacheHierarchy uniqueName="[Measures].[Sum of Amount]" caption="Sum of Amount" measure="1" displayFolder="" measureGroup="Data" count="0" oneField="1" hidden="1">
      <fieldsUsage count="1">
        <fieldUsage x="0"/>
      </fieldsUsage>
      <extLst>
        <ext xmlns:x15="http://schemas.microsoft.com/office/spreadsheetml/2010/11/main" uri="{B97F6D7D-B522-45F9-BDA1-12C45D357490}">
          <x15:cacheHierarchy aggregatedColumn="9"/>
        </ext>
      </extLst>
    </cacheHierarchy>
    <cacheHierarchy uniqueName="[Measures].[Count of Amount]" caption="Count of Amount" measure="1" displayFolder="" measureGroup="Data" count="0" hidden="1">
      <extLst>
        <ext xmlns:x15="http://schemas.microsoft.com/office/spreadsheetml/2010/11/main" uri="{B97F6D7D-B522-45F9-BDA1-12C45D357490}">
          <x15:cacheHierarchy aggregatedColumn="9"/>
        </ext>
      </extLst>
    </cacheHierarchy>
    <cacheHierarchy uniqueName="[Measures].[Average of Amount]" caption="Average of Amount" measure="1" displayFolder="" measureGroup="Data" count="0" hidden="1">
      <extLst>
        <ext xmlns:x15="http://schemas.microsoft.com/office/spreadsheetml/2010/11/main" uri="{B97F6D7D-B522-45F9-BDA1-12C45D357490}">
          <x15:cacheHierarchy aggregatedColumn="9"/>
        </ext>
      </extLst>
    </cacheHierarchy>
    <cacheHierarchy uniqueName="[Measures].[Sum of Order ID]" caption="Sum of Order ID" measure="1" displayFolder="" measureGroup="Data" count="0" hidden="1">
      <extLst>
        <ext xmlns:x15="http://schemas.microsoft.com/office/spreadsheetml/2010/11/main" uri="{B97F6D7D-B522-45F9-BDA1-12C45D357490}">
          <x15:cacheHierarchy aggregatedColumn="0"/>
        </ext>
      </extLst>
    </cacheHierarchy>
    <cacheHierarchy uniqueName="[Measures].[Count of Order ID]" caption="Count of Order ID" measure="1" displayFolder="" measureGroup="Data" count="0" hidden="1">
      <extLst>
        <ext xmlns:x15="http://schemas.microsoft.com/office/spreadsheetml/2010/11/main" uri="{B97F6D7D-B522-45F9-BDA1-12C45D357490}">
          <x15:cacheHierarchy aggregatedColumn="0"/>
        </ext>
      </extLst>
    </cacheHierarchy>
  </cacheHierarchies>
  <kpis count="0"/>
  <dimensions count="2">
    <dimension name="Data" uniqueName="[Data]" caption="Data"/>
    <dimension measure="1" name="Measures" uniqueName="[Measures]" caption="Measures"/>
  </dimensions>
  <measureGroups count="1">
    <measureGroup name="Data" caption="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med" refreshedDate="46043.806659374997" backgroundQuery="1" createdVersion="8" refreshedVersion="8" minRefreshableVersion="3" recordCount="0" supportSubquery="1" supportAdvancedDrill="1" xr:uid="{0F0E5FFA-E45A-4BDD-B7E4-28359CD1EDB3}">
  <cacheSource type="external" connectionId="2"/>
  <cacheFields count="3">
    <cacheField name="[Data].[Region].[Region]" caption="Region" numFmtId="0" hierarchy="5" level="1">
      <sharedItems count="4">
        <s v="East"/>
        <s v="North"/>
        <s v="South"/>
        <s v="West"/>
      </sharedItems>
    </cacheField>
    <cacheField name="[Measures].[Sum of Order ID]" caption="Sum of Order ID" numFmtId="0" hierarchy="15" level="32767"/>
    <cacheField name="[Data].[Country].[Country]" caption="Country" numFmtId="0" hierarchy="4" level="1">
      <sharedItems containsSemiMixedTypes="0" containsNonDate="0" containsString="0"/>
    </cacheField>
  </cacheFields>
  <cacheHierarchies count="17">
    <cacheHierarchy uniqueName="[Data].[Order ID]" caption="Order ID" attribute="1" defaultMemberUniqueName="[Data].[Order ID].[All]" allUniqueName="[Data].[Order ID].[All]" dimensionUniqueName="[Data]" displayFolder="" count="0" memberValueDatatype="20" unbalanced="0"/>
    <cacheHierarchy uniqueName="[Data].[Date]" caption="Date" attribute="1" time="1" defaultMemberUniqueName="[Data].[Date].[All]" allUniqueName="[Data].[Date].[All]" dimensionUniqueName="[Data]" displayFolder="" count="0" memberValueDatatype="7" unbalanced="0"/>
    <cacheHierarchy uniqueName="[Data].[Product]" caption="Product" attribute="1" defaultMemberUniqueName="[Data].[Product].[All]" allUniqueName="[Data].[Product].[All]" dimensionUniqueName="[Data]" displayFolder="" count="0" memberValueDatatype="130" unbalanced="0"/>
    <cacheHierarchy uniqueName="[Data].[Category]" caption="Category" attribute="1" defaultMemberUniqueName="[Data].[Category].[All]" allUniqueName="[Data].[Category].[All]" dimensionUniqueName="[Data]" displayFolder="" count="2" memberValueDatatype="130" unbalanced="0"/>
    <cacheHierarchy uniqueName="[Data].[Country]" caption="Country" attribute="1" defaultMemberUniqueName="[Data].[Country].[All]" allUniqueName="[Data].[Country].[All]" dimensionUniqueName="[Data]" displayFolder="" count="2" memberValueDatatype="130" unbalanced="0">
      <fieldsUsage count="2">
        <fieldUsage x="-1"/>
        <fieldUsage x="2"/>
      </fieldsUsage>
    </cacheHierarchy>
    <cacheHierarchy uniqueName="[Data].[Region]" caption="Region" attribute="1" defaultMemberUniqueName="[Data].[Region].[All]" allUniqueName="[Data].[Region].[All]" dimensionUniqueName="[Data]" displayFolder="" count="2" memberValueDatatype="130" unbalanced="0">
      <fieldsUsage count="2">
        <fieldUsage x="-1"/>
        <fieldUsage x="0"/>
      </fieldsUsage>
    </cacheHierarchy>
    <cacheHierarchy uniqueName="[Data].[Month]" caption="Month" attribute="1" defaultMemberUniqueName="[Data].[Month].[All]" allUniqueName="[Data].[Month].[All]" dimensionUniqueName="[Data]" displayFolder="" count="0" memberValueDatatype="130" unbalanced="0"/>
    <cacheHierarchy uniqueName="[Data].[Year]" caption="Year" attribute="1" defaultMemberUniqueName="[Data].[Year].[All]" allUniqueName="[Data].[Year].[All]" dimensionUniqueName="[Data]" displayFolder="" count="2" memberValueDatatype="20" unbalanced="0"/>
    <cacheHierarchy uniqueName="[Data].[Quarter]" caption="Quarter" attribute="1" defaultMemberUniqueName="[Data].[Quarter].[All]" allUniqueName="[Data].[Quarter].[All]" dimensionUniqueName="[Data]" displayFolder="" count="2" memberValueDatatype="130" unbalanced="0"/>
    <cacheHierarchy uniqueName="[Data].[Amount]" caption="Amount" attribute="1" defaultMemberUniqueName="[Data].[Amount].[All]" allUniqueName="[Data].[Amount].[All]" dimensionUniqueName="[Data]" displayFolder="" count="0" memberValueDatatype="20" unbalanced="0"/>
    <cacheHierarchy uniqueName="[Measures].[__XL_Count Data]" caption="__XL_Count Data" measure="1" displayFolder="" measureGroup="Data" count="0" hidden="1"/>
    <cacheHierarchy uniqueName="[Measures].[__No measures defined]" caption="__No measures defined" measure="1" displayFolder="" count="0" hidden="1"/>
    <cacheHierarchy uniqueName="[Measures].[Sum of Amount]" caption="Sum of Amount" measure="1" displayFolder="" measureGroup="Data" count="0" hidden="1">
      <extLst>
        <ext xmlns:x15="http://schemas.microsoft.com/office/spreadsheetml/2010/11/main" uri="{B97F6D7D-B522-45F9-BDA1-12C45D357490}">
          <x15:cacheHierarchy aggregatedColumn="9"/>
        </ext>
      </extLst>
    </cacheHierarchy>
    <cacheHierarchy uniqueName="[Measures].[Count of Amount]" caption="Count of Amount" measure="1" displayFolder="" measureGroup="Data" count="0" hidden="1">
      <extLst>
        <ext xmlns:x15="http://schemas.microsoft.com/office/spreadsheetml/2010/11/main" uri="{B97F6D7D-B522-45F9-BDA1-12C45D357490}">
          <x15:cacheHierarchy aggregatedColumn="9"/>
        </ext>
      </extLst>
    </cacheHierarchy>
    <cacheHierarchy uniqueName="[Measures].[Average of Amount]" caption="Average of Amount" measure="1" displayFolder="" measureGroup="Data" count="0" hidden="1">
      <extLst>
        <ext xmlns:x15="http://schemas.microsoft.com/office/spreadsheetml/2010/11/main" uri="{B97F6D7D-B522-45F9-BDA1-12C45D357490}">
          <x15:cacheHierarchy aggregatedColumn="9"/>
        </ext>
      </extLst>
    </cacheHierarchy>
    <cacheHierarchy uniqueName="[Measures].[Sum of Order ID]" caption="Sum of Order ID" measure="1" displayFolder="" measureGroup="Data"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Order ID]" caption="Count of Order ID" measure="1" displayFolder="" measureGroup="Data" count="0" hidden="1">
      <extLst>
        <ext xmlns:x15="http://schemas.microsoft.com/office/spreadsheetml/2010/11/main" uri="{B97F6D7D-B522-45F9-BDA1-12C45D357490}">
          <x15:cacheHierarchy aggregatedColumn="0"/>
        </ext>
      </extLst>
    </cacheHierarchy>
  </cacheHierarchies>
  <kpis count="0"/>
  <dimensions count="2">
    <dimension name="Data" uniqueName="[Data]" caption="Data"/>
    <dimension measure="1" name="Measures" uniqueName="[Measures]" caption="Measures"/>
  </dimensions>
  <measureGroups count="1">
    <measureGroup name="Data" caption="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med" refreshedDate="46043.806659722221" backgroundQuery="1" createdVersion="8" refreshedVersion="8" minRefreshableVersion="3" recordCount="0" supportSubquery="1" supportAdvancedDrill="1" xr:uid="{86088AE8-30DD-4A9B-A0B3-13878A923834}">
  <cacheSource type="external" connectionId="2"/>
  <cacheFields count="3">
    <cacheField name="[Data].[Region].[Region]" caption="Region" numFmtId="0" hierarchy="5" level="1">
      <sharedItems count="4">
        <s v="East"/>
        <s v="North"/>
        <s v="South"/>
        <s v="West"/>
      </sharedItems>
    </cacheField>
    <cacheField name="[Measures].[Average of Amount]" caption="Average of Amount" numFmtId="0" hierarchy="14" level="32767"/>
    <cacheField name="[Data].[Country].[Country]" caption="Country" numFmtId="0" hierarchy="4" level="1">
      <sharedItems containsSemiMixedTypes="0" containsNonDate="0" containsString="0"/>
    </cacheField>
  </cacheFields>
  <cacheHierarchies count="17">
    <cacheHierarchy uniqueName="[Data].[Order ID]" caption="Order ID" attribute="1" defaultMemberUniqueName="[Data].[Order ID].[All]" allUniqueName="[Data].[Order ID].[All]" dimensionUniqueName="[Data]" displayFolder="" count="0" memberValueDatatype="20" unbalanced="0"/>
    <cacheHierarchy uniqueName="[Data].[Date]" caption="Date" attribute="1" time="1" defaultMemberUniqueName="[Data].[Date].[All]" allUniqueName="[Data].[Date].[All]" dimensionUniqueName="[Data]" displayFolder="" count="0" memberValueDatatype="7" unbalanced="0"/>
    <cacheHierarchy uniqueName="[Data].[Product]" caption="Product" attribute="1" defaultMemberUniqueName="[Data].[Product].[All]" allUniqueName="[Data].[Product].[All]" dimensionUniqueName="[Data]" displayFolder="" count="0" memberValueDatatype="130" unbalanced="0"/>
    <cacheHierarchy uniqueName="[Data].[Category]" caption="Category" attribute="1" defaultMemberUniqueName="[Data].[Category].[All]" allUniqueName="[Data].[Category].[All]" dimensionUniqueName="[Data]" displayFolder="" count="2" memberValueDatatype="130" unbalanced="0"/>
    <cacheHierarchy uniqueName="[Data].[Country]" caption="Country" attribute="1" defaultMemberUniqueName="[Data].[Country].[All]" allUniqueName="[Data].[Country].[All]" dimensionUniqueName="[Data]" displayFolder="" count="2" memberValueDatatype="130" unbalanced="0">
      <fieldsUsage count="2">
        <fieldUsage x="-1"/>
        <fieldUsage x="2"/>
      </fieldsUsage>
    </cacheHierarchy>
    <cacheHierarchy uniqueName="[Data].[Region]" caption="Region" attribute="1" defaultMemberUniqueName="[Data].[Region].[All]" allUniqueName="[Data].[Region].[All]" dimensionUniqueName="[Data]" displayFolder="" count="2" memberValueDatatype="130" unbalanced="0">
      <fieldsUsage count="2">
        <fieldUsage x="-1"/>
        <fieldUsage x="0"/>
      </fieldsUsage>
    </cacheHierarchy>
    <cacheHierarchy uniqueName="[Data].[Month]" caption="Month" attribute="1" defaultMemberUniqueName="[Data].[Month].[All]" allUniqueName="[Data].[Month].[All]" dimensionUniqueName="[Data]" displayFolder="" count="0" memberValueDatatype="130" unbalanced="0"/>
    <cacheHierarchy uniqueName="[Data].[Year]" caption="Year" attribute="1" defaultMemberUniqueName="[Data].[Year].[All]" allUniqueName="[Data].[Year].[All]" dimensionUniqueName="[Data]" displayFolder="" count="2" memberValueDatatype="20" unbalanced="0"/>
    <cacheHierarchy uniqueName="[Data].[Quarter]" caption="Quarter" attribute="1" defaultMemberUniqueName="[Data].[Quarter].[All]" allUniqueName="[Data].[Quarter].[All]" dimensionUniqueName="[Data]" displayFolder="" count="2" memberValueDatatype="130" unbalanced="0"/>
    <cacheHierarchy uniqueName="[Data].[Amount]" caption="Amount" attribute="1" defaultMemberUniqueName="[Data].[Amount].[All]" allUniqueName="[Data].[Amount].[All]" dimensionUniqueName="[Data]" displayFolder="" count="0" memberValueDatatype="20" unbalanced="0"/>
    <cacheHierarchy uniqueName="[Measures].[__XL_Count Data]" caption="__XL_Count Data" measure="1" displayFolder="" measureGroup="Data" count="0" hidden="1"/>
    <cacheHierarchy uniqueName="[Measures].[__No measures defined]" caption="__No measures defined" measure="1" displayFolder="" count="0" hidden="1"/>
    <cacheHierarchy uniqueName="[Measures].[Sum of Amount]" caption="Sum of Amount" measure="1" displayFolder="" measureGroup="Data" count="0" hidden="1">
      <extLst>
        <ext xmlns:x15="http://schemas.microsoft.com/office/spreadsheetml/2010/11/main" uri="{B97F6D7D-B522-45F9-BDA1-12C45D357490}">
          <x15:cacheHierarchy aggregatedColumn="9"/>
        </ext>
      </extLst>
    </cacheHierarchy>
    <cacheHierarchy uniqueName="[Measures].[Count of Amount]" caption="Count of Amount" measure="1" displayFolder="" measureGroup="Data" count="0" hidden="1">
      <extLst>
        <ext xmlns:x15="http://schemas.microsoft.com/office/spreadsheetml/2010/11/main" uri="{B97F6D7D-B522-45F9-BDA1-12C45D357490}">
          <x15:cacheHierarchy aggregatedColumn="9"/>
        </ext>
      </extLst>
    </cacheHierarchy>
    <cacheHierarchy uniqueName="[Measures].[Average of Amount]" caption="Average of Amount" measure="1" displayFolder="" measureGroup="Data" count="0" oneField="1" hidden="1">
      <fieldsUsage count="1">
        <fieldUsage x="1"/>
      </fieldsUsage>
      <extLst>
        <ext xmlns:x15="http://schemas.microsoft.com/office/spreadsheetml/2010/11/main" uri="{B97F6D7D-B522-45F9-BDA1-12C45D357490}">
          <x15:cacheHierarchy aggregatedColumn="9"/>
        </ext>
      </extLst>
    </cacheHierarchy>
    <cacheHierarchy uniqueName="[Measures].[Sum of Order ID]" caption="Sum of Order ID" measure="1" displayFolder="" measureGroup="Data" count="0" hidden="1">
      <extLst>
        <ext xmlns:x15="http://schemas.microsoft.com/office/spreadsheetml/2010/11/main" uri="{B97F6D7D-B522-45F9-BDA1-12C45D357490}">
          <x15:cacheHierarchy aggregatedColumn="0"/>
        </ext>
      </extLst>
    </cacheHierarchy>
    <cacheHierarchy uniqueName="[Measures].[Count of Order ID]" caption="Count of Order ID" measure="1" displayFolder="" measureGroup="Data" count="0" hidden="1">
      <extLst>
        <ext xmlns:x15="http://schemas.microsoft.com/office/spreadsheetml/2010/11/main" uri="{B97F6D7D-B522-45F9-BDA1-12C45D357490}">
          <x15:cacheHierarchy aggregatedColumn="0"/>
        </ext>
      </extLst>
    </cacheHierarchy>
  </cacheHierarchies>
  <kpis count="0"/>
  <dimensions count="2">
    <dimension name="Data" uniqueName="[Data]" caption="Data"/>
    <dimension measure="1" name="Measures" uniqueName="[Measures]" caption="Measures"/>
  </dimensions>
  <measureGroups count="1">
    <measureGroup name="Data" caption="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med" refreshedDate="46043.806660416667" backgroundQuery="1" createdVersion="8" refreshedVersion="8" minRefreshableVersion="3" recordCount="0" supportSubquery="1" supportAdvancedDrill="1" xr:uid="{BC4DC865-6048-4897-ACA5-7357DCA9995A}">
  <cacheSource type="external" connectionId="2"/>
  <cacheFields count="3">
    <cacheField name="[Data].[Year].[Year]" caption="Year" numFmtId="0" hierarchy="7" level="1">
      <sharedItems containsSemiMixedTypes="0" containsString="0" containsNumber="1" containsInteger="1" minValue="2019" maxValue="2020" count="2">
        <n v="2019"/>
        <n v="2020"/>
      </sharedItems>
      <extLst>
        <ext xmlns:x15="http://schemas.microsoft.com/office/spreadsheetml/2010/11/main" uri="{4F2E5C28-24EA-4eb8-9CBF-B6C8F9C3D259}">
          <x15:cachedUniqueNames>
            <x15:cachedUniqueName index="0" name="[Data].[Year].&amp;[2019]"/>
            <x15:cachedUniqueName index="1" name="[Data].[Year].&amp;[2020]"/>
          </x15:cachedUniqueNames>
        </ext>
      </extLst>
    </cacheField>
    <cacheField name="[Measures].[Sum of Amount]" caption="Sum of Amount" numFmtId="0" hierarchy="12" level="32767"/>
    <cacheField name="[Data].[Country].[Country]" caption="Country" numFmtId="0" hierarchy="4" level="1">
      <sharedItems containsSemiMixedTypes="0" containsNonDate="0" containsString="0"/>
    </cacheField>
  </cacheFields>
  <cacheHierarchies count="17">
    <cacheHierarchy uniqueName="[Data].[Order ID]" caption="Order ID" attribute="1" defaultMemberUniqueName="[Data].[Order ID].[All]" allUniqueName="[Data].[Order ID].[All]" dimensionUniqueName="[Data]" displayFolder="" count="0" memberValueDatatype="20" unbalanced="0"/>
    <cacheHierarchy uniqueName="[Data].[Date]" caption="Date" attribute="1" time="1" defaultMemberUniqueName="[Data].[Date].[All]" allUniqueName="[Data].[Date].[All]" dimensionUniqueName="[Data]" displayFolder="" count="0" memberValueDatatype="7" unbalanced="0"/>
    <cacheHierarchy uniqueName="[Data].[Product]" caption="Product" attribute="1" defaultMemberUniqueName="[Data].[Product].[All]" allUniqueName="[Data].[Product].[All]" dimensionUniqueName="[Data]" displayFolder="" count="0" memberValueDatatype="130" unbalanced="0"/>
    <cacheHierarchy uniqueName="[Data].[Category]" caption="Category" attribute="1" defaultMemberUniqueName="[Data].[Category].[All]" allUniqueName="[Data].[Category].[All]" dimensionUniqueName="[Data]" displayFolder="" count="2" memberValueDatatype="130" unbalanced="0"/>
    <cacheHierarchy uniqueName="[Data].[Country]" caption="Country" attribute="1" defaultMemberUniqueName="[Data].[Country].[All]" allUniqueName="[Data].[Country].[All]" dimensionUniqueName="[Data]" displayFolder="" count="2" memberValueDatatype="130" unbalanced="0">
      <fieldsUsage count="2">
        <fieldUsage x="-1"/>
        <fieldUsage x="2"/>
      </fieldsUsage>
    </cacheHierarchy>
    <cacheHierarchy uniqueName="[Data].[Region]" caption="Region" attribute="1" defaultMemberUniqueName="[Data].[Region].[All]" allUniqueName="[Data].[Region].[All]" dimensionUniqueName="[Data]" displayFolder="" count="2" memberValueDatatype="130" unbalanced="0"/>
    <cacheHierarchy uniqueName="[Data].[Month]" caption="Month" attribute="1" defaultMemberUniqueName="[Data].[Month].[All]" allUniqueName="[Data].[Month].[All]" dimensionUniqueName="[Data]" displayFolder="" count="0" memberValueDatatype="130" unbalanced="0"/>
    <cacheHierarchy uniqueName="[Data].[Year]" caption="Year" attribute="1" defaultMemberUniqueName="[Data].[Year].[All]" allUniqueName="[Data].[Year].[All]" dimensionUniqueName="[Data]" displayFolder="" count="2" memberValueDatatype="20" unbalanced="0">
      <fieldsUsage count="2">
        <fieldUsage x="-1"/>
        <fieldUsage x="0"/>
      </fieldsUsage>
    </cacheHierarchy>
    <cacheHierarchy uniqueName="[Data].[Quarter]" caption="Quarter" attribute="1" defaultMemberUniqueName="[Data].[Quarter].[All]" allUniqueName="[Data].[Quarter].[All]" dimensionUniqueName="[Data]" displayFolder="" count="2" memberValueDatatype="130" unbalanced="0"/>
    <cacheHierarchy uniqueName="[Data].[Amount]" caption="Amount" attribute="1" defaultMemberUniqueName="[Data].[Amount].[All]" allUniqueName="[Data].[Amount].[All]" dimensionUniqueName="[Data]" displayFolder="" count="0" memberValueDatatype="20" unbalanced="0"/>
    <cacheHierarchy uniqueName="[Measures].[__XL_Count Data]" caption="__XL_Count Data" measure="1" displayFolder="" measureGroup="Data" count="0" hidden="1"/>
    <cacheHierarchy uniqueName="[Measures].[__No measures defined]" caption="__No measures defined" measure="1" displayFolder="" count="0" hidden="1"/>
    <cacheHierarchy uniqueName="[Measures].[Sum of Amount]" caption="Sum of Amount" measure="1" displayFolder="" measureGroup="Data" count="0" oneField="1" hidden="1">
      <fieldsUsage count="1">
        <fieldUsage x="1"/>
      </fieldsUsage>
      <extLst>
        <ext xmlns:x15="http://schemas.microsoft.com/office/spreadsheetml/2010/11/main" uri="{B97F6D7D-B522-45F9-BDA1-12C45D357490}">
          <x15:cacheHierarchy aggregatedColumn="9"/>
        </ext>
      </extLst>
    </cacheHierarchy>
    <cacheHierarchy uniqueName="[Measures].[Count of Amount]" caption="Count of Amount" measure="1" displayFolder="" measureGroup="Data" count="0" hidden="1">
      <extLst>
        <ext xmlns:x15="http://schemas.microsoft.com/office/spreadsheetml/2010/11/main" uri="{B97F6D7D-B522-45F9-BDA1-12C45D357490}">
          <x15:cacheHierarchy aggregatedColumn="9"/>
        </ext>
      </extLst>
    </cacheHierarchy>
    <cacheHierarchy uniqueName="[Measures].[Average of Amount]" caption="Average of Amount" measure="1" displayFolder="" measureGroup="Data" count="0" hidden="1">
      <extLst>
        <ext xmlns:x15="http://schemas.microsoft.com/office/spreadsheetml/2010/11/main" uri="{B97F6D7D-B522-45F9-BDA1-12C45D357490}">
          <x15:cacheHierarchy aggregatedColumn="9"/>
        </ext>
      </extLst>
    </cacheHierarchy>
    <cacheHierarchy uniqueName="[Measures].[Sum of Order ID]" caption="Sum of Order ID" measure="1" displayFolder="" measureGroup="Data" count="0" hidden="1">
      <extLst>
        <ext xmlns:x15="http://schemas.microsoft.com/office/spreadsheetml/2010/11/main" uri="{B97F6D7D-B522-45F9-BDA1-12C45D357490}">
          <x15:cacheHierarchy aggregatedColumn="0"/>
        </ext>
      </extLst>
    </cacheHierarchy>
    <cacheHierarchy uniqueName="[Measures].[Count of Order ID]" caption="Count of Order ID" measure="1" displayFolder="" measureGroup="Data" count="0" hidden="1">
      <extLst>
        <ext xmlns:x15="http://schemas.microsoft.com/office/spreadsheetml/2010/11/main" uri="{B97F6D7D-B522-45F9-BDA1-12C45D357490}">
          <x15:cacheHierarchy aggregatedColumn="0"/>
        </ext>
      </extLst>
    </cacheHierarchy>
  </cacheHierarchies>
  <kpis count="0"/>
  <dimensions count="2">
    <dimension name="Data" uniqueName="[Data]" caption="Data"/>
    <dimension measure="1" name="Measures" uniqueName="[Measures]" caption="Measures"/>
  </dimensions>
  <measureGroups count="1">
    <measureGroup name="Data" caption="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med" refreshedDate="46043.806660879629" backgroundQuery="1" createdVersion="8" refreshedVersion="8" minRefreshableVersion="3" recordCount="0" supportSubquery="1" supportAdvancedDrill="1" xr:uid="{5AFFE00B-46C5-4EAA-88A9-6699A6FE360E}">
  <cacheSource type="external" connectionId="2"/>
  <cacheFields count="3">
    <cacheField name="[Data].[Region].[Region]" caption="Region" numFmtId="0" hierarchy="5" level="1">
      <sharedItems count="4">
        <s v="East"/>
        <s v="North"/>
        <s v="South"/>
        <s v="West"/>
      </sharedItems>
    </cacheField>
    <cacheField name="[Measures].[Count of Amount]" caption="Count of Amount" numFmtId="0" hierarchy="13" level="32767"/>
    <cacheField name="[Data].[Country].[Country]" caption="Country" numFmtId="0" hierarchy="4" level="1">
      <sharedItems containsSemiMixedTypes="0" containsNonDate="0" containsString="0"/>
    </cacheField>
  </cacheFields>
  <cacheHierarchies count="17">
    <cacheHierarchy uniqueName="[Data].[Order ID]" caption="Order ID" attribute="1" defaultMemberUniqueName="[Data].[Order ID].[All]" allUniqueName="[Data].[Order ID].[All]" dimensionUniqueName="[Data]" displayFolder="" count="0" memberValueDatatype="20" unbalanced="0"/>
    <cacheHierarchy uniqueName="[Data].[Date]" caption="Date" attribute="1" time="1" defaultMemberUniqueName="[Data].[Date].[All]" allUniqueName="[Data].[Date].[All]" dimensionUniqueName="[Data]" displayFolder="" count="0" memberValueDatatype="7" unbalanced="0"/>
    <cacheHierarchy uniqueName="[Data].[Product]" caption="Product" attribute="1" defaultMemberUniqueName="[Data].[Product].[All]" allUniqueName="[Data].[Product].[All]" dimensionUniqueName="[Data]" displayFolder="" count="0" memberValueDatatype="130" unbalanced="0"/>
    <cacheHierarchy uniqueName="[Data].[Category]" caption="Category" attribute="1" defaultMemberUniqueName="[Data].[Category].[All]" allUniqueName="[Data].[Category].[All]" dimensionUniqueName="[Data]" displayFolder="" count="2" memberValueDatatype="130" unbalanced="0"/>
    <cacheHierarchy uniqueName="[Data].[Country]" caption="Country" attribute="1" defaultMemberUniqueName="[Data].[Country].[All]" allUniqueName="[Data].[Country].[All]" dimensionUniqueName="[Data]" displayFolder="" count="2" memberValueDatatype="130" unbalanced="0">
      <fieldsUsage count="2">
        <fieldUsage x="-1"/>
        <fieldUsage x="2"/>
      </fieldsUsage>
    </cacheHierarchy>
    <cacheHierarchy uniqueName="[Data].[Region]" caption="Region" attribute="1" defaultMemberUniqueName="[Data].[Region].[All]" allUniqueName="[Data].[Region].[All]" dimensionUniqueName="[Data]" displayFolder="" count="2" memberValueDatatype="130" unbalanced="0">
      <fieldsUsage count="2">
        <fieldUsage x="-1"/>
        <fieldUsage x="0"/>
      </fieldsUsage>
    </cacheHierarchy>
    <cacheHierarchy uniqueName="[Data].[Month]" caption="Month" attribute="1" defaultMemberUniqueName="[Data].[Month].[All]" allUniqueName="[Data].[Month].[All]" dimensionUniqueName="[Data]" displayFolder="" count="0" memberValueDatatype="130" unbalanced="0"/>
    <cacheHierarchy uniqueName="[Data].[Year]" caption="Year" attribute="1" defaultMemberUniqueName="[Data].[Year].[All]" allUniqueName="[Data].[Year].[All]" dimensionUniqueName="[Data]" displayFolder="" count="2" memberValueDatatype="20" unbalanced="0"/>
    <cacheHierarchy uniqueName="[Data].[Quarter]" caption="Quarter" attribute="1" defaultMemberUniqueName="[Data].[Quarter].[All]" allUniqueName="[Data].[Quarter].[All]" dimensionUniqueName="[Data]" displayFolder="" count="2" memberValueDatatype="130" unbalanced="0"/>
    <cacheHierarchy uniqueName="[Data].[Amount]" caption="Amount" attribute="1" defaultMemberUniqueName="[Data].[Amount].[All]" allUniqueName="[Data].[Amount].[All]" dimensionUniqueName="[Data]" displayFolder="" count="0" memberValueDatatype="20" unbalanced="0"/>
    <cacheHierarchy uniqueName="[Measures].[__XL_Count Data]" caption="__XL_Count Data" measure="1" displayFolder="" measureGroup="Data" count="0" hidden="1"/>
    <cacheHierarchy uniqueName="[Measures].[__No measures defined]" caption="__No measures defined" measure="1" displayFolder="" count="0" hidden="1"/>
    <cacheHierarchy uniqueName="[Measures].[Sum of Amount]" caption="Sum of Amount" measure="1" displayFolder="" measureGroup="Data" count="0" hidden="1">
      <extLst>
        <ext xmlns:x15="http://schemas.microsoft.com/office/spreadsheetml/2010/11/main" uri="{B97F6D7D-B522-45F9-BDA1-12C45D357490}">
          <x15:cacheHierarchy aggregatedColumn="9"/>
        </ext>
      </extLst>
    </cacheHierarchy>
    <cacheHierarchy uniqueName="[Measures].[Count of Amount]" caption="Count of Amount" measure="1" displayFolder="" measureGroup="Data" count="0" oneField="1" hidden="1">
      <fieldsUsage count="1">
        <fieldUsage x="1"/>
      </fieldsUsage>
      <extLst>
        <ext xmlns:x15="http://schemas.microsoft.com/office/spreadsheetml/2010/11/main" uri="{B97F6D7D-B522-45F9-BDA1-12C45D357490}">
          <x15:cacheHierarchy aggregatedColumn="9"/>
        </ext>
      </extLst>
    </cacheHierarchy>
    <cacheHierarchy uniqueName="[Measures].[Average of Amount]" caption="Average of Amount" measure="1" displayFolder="" measureGroup="Data" count="0" hidden="1">
      <extLst>
        <ext xmlns:x15="http://schemas.microsoft.com/office/spreadsheetml/2010/11/main" uri="{B97F6D7D-B522-45F9-BDA1-12C45D357490}">
          <x15:cacheHierarchy aggregatedColumn="9"/>
        </ext>
      </extLst>
    </cacheHierarchy>
    <cacheHierarchy uniqueName="[Measures].[Sum of Order ID]" caption="Sum of Order ID" measure="1" displayFolder="" measureGroup="Data" count="0" hidden="1">
      <extLst>
        <ext xmlns:x15="http://schemas.microsoft.com/office/spreadsheetml/2010/11/main" uri="{B97F6D7D-B522-45F9-BDA1-12C45D357490}">
          <x15:cacheHierarchy aggregatedColumn="0"/>
        </ext>
      </extLst>
    </cacheHierarchy>
    <cacheHierarchy uniqueName="[Measures].[Count of Order ID]" caption="Count of Order ID" measure="1" displayFolder="" measureGroup="Data" count="0" hidden="1">
      <extLst>
        <ext xmlns:x15="http://schemas.microsoft.com/office/spreadsheetml/2010/11/main" uri="{B97F6D7D-B522-45F9-BDA1-12C45D357490}">
          <x15:cacheHierarchy aggregatedColumn="0"/>
        </ext>
      </extLst>
    </cacheHierarchy>
  </cacheHierarchies>
  <kpis count="0"/>
  <dimensions count="2">
    <dimension name="Data" uniqueName="[Data]" caption="Data"/>
    <dimension measure="1" name="Measures" uniqueName="[Measures]" caption="Measures"/>
  </dimensions>
  <measureGroups count="1">
    <measureGroup name="Data" caption="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med" refreshedDate="46043.806661111113" backgroundQuery="1" createdVersion="8" refreshedVersion="8" minRefreshableVersion="3" recordCount="0" supportSubquery="1" supportAdvancedDrill="1" xr:uid="{C9BDE4DA-C401-4F96-AFDD-DCB586398D58}">
  <cacheSource type="external" connectionId="2"/>
  <cacheFields count="2">
    <cacheField name="[Measures].[Sum of Amount]" caption="Sum of Amount" numFmtId="0" hierarchy="12" level="32767"/>
    <cacheField name="[Data].[Country].[Country]" caption="Country" numFmtId="0" hierarchy="4" level="1">
      <sharedItems containsSemiMixedTypes="0" containsNonDate="0" containsString="0"/>
    </cacheField>
  </cacheFields>
  <cacheHierarchies count="17">
    <cacheHierarchy uniqueName="[Data].[Order ID]" caption="Order ID" attribute="1" defaultMemberUniqueName="[Data].[Order ID].[All]" allUniqueName="[Data].[Order ID].[All]" dimensionUniqueName="[Data]" displayFolder="" count="0" memberValueDatatype="20" unbalanced="0"/>
    <cacheHierarchy uniqueName="[Data].[Date]" caption="Date" attribute="1" time="1" defaultMemberUniqueName="[Data].[Date].[All]" allUniqueName="[Data].[Date].[All]" dimensionUniqueName="[Data]" displayFolder="" count="0" memberValueDatatype="7" unbalanced="0"/>
    <cacheHierarchy uniqueName="[Data].[Product]" caption="Product" attribute="1" defaultMemberUniqueName="[Data].[Product].[All]" allUniqueName="[Data].[Product].[All]" dimensionUniqueName="[Data]" displayFolder="" count="0" memberValueDatatype="130" unbalanced="0"/>
    <cacheHierarchy uniqueName="[Data].[Category]" caption="Category" attribute="1" defaultMemberUniqueName="[Data].[Category].[All]" allUniqueName="[Data].[Category].[All]" dimensionUniqueName="[Data]" displayFolder="" count="2" memberValueDatatype="130" unbalanced="0"/>
    <cacheHierarchy uniqueName="[Data].[Country]" caption="Country" attribute="1" defaultMemberUniqueName="[Data].[Country].[All]" allUniqueName="[Data].[Country].[All]" dimensionUniqueName="[Data]" displayFolder="" count="2" memberValueDatatype="130" unbalanced="0">
      <fieldsUsage count="2">
        <fieldUsage x="-1"/>
        <fieldUsage x="1"/>
      </fieldsUsage>
    </cacheHierarchy>
    <cacheHierarchy uniqueName="[Data].[Region]" caption="Region" attribute="1" defaultMemberUniqueName="[Data].[Region].[All]" allUniqueName="[Data].[Region].[All]" dimensionUniqueName="[Data]" displayFolder="" count="2" memberValueDatatype="130" unbalanced="0"/>
    <cacheHierarchy uniqueName="[Data].[Month]" caption="Month" attribute="1" defaultMemberUniqueName="[Data].[Month].[All]" allUniqueName="[Data].[Month].[All]" dimensionUniqueName="[Data]" displayFolder="" count="0" memberValueDatatype="130" unbalanced="0"/>
    <cacheHierarchy uniqueName="[Data].[Year]" caption="Year" attribute="1" defaultMemberUniqueName="[Data].[Year].[All]" allUniqueName="[Data].[Year].[All]" dimensionUniqueName="[Data]" displayFolder="" count="2" memberValueDatatype="20" unbalanced="0"/>
    <cacheHierarchy uniqueName="[Data].[Quarter]" caption="Quarter" attribute="1" defaultMemberUniqueName="[Data].[Quarter].[All]" allUniqueName="[Data].[Quarter].[All]" dimensionUniqueName="[Data]" displayFolder="" count="2" memberValueDatatype="130" unbalanced="0"/>
    <cacheHierarchy uniqueName="[Data].[Amount]" caption="Amount" attribute="1" defaultMemberUniqueName="[Data].[Amount].[All]" allUniqueName="[Data].[Amount].[All]" dimensionUniqueName="[Data]" displayFolder="" count="0" memberValueDatatype="20" unbalanced="0"/>
    <cacheHierarchy uniqueName="[Measures].[__XL_Count Data]" caption="__XL_Count Data" measure="1" displayFolder="" measureGroup="Data" count="0" hidden="1"/>
    <cacheHierarchy uniqueName="[Measures].[__No measures defined]" caption="__No measures defined" measure="1" displayFolder="" count="0" hidden="1"/>
    <cacheHierarchy uniqueName="[Measures].[Sum of Amount]" caption="Sum of Amount" measure="1" displayFolder="" measureGroup="Data" count="0" oneField="1" hidden="1">
      <fieldsUsage count="1">
        <fieldUsage x="0"/>
      </fieldsUsage>
      <extLst>
        <ext xmlns:x15="http://schemas.microsoft.com/office/spreadsheetml/2010/11/main" uri="{B97F6D7D-B522-45F9-BDA1-12C45D357490}">
          <x15:cacheHierarchy aggregatedColumn="9"/>
        </ext>
      </extLst>
    </cacheHierarchy>
    <cacheHierarchy uniqueName="[Measures].[Count of Amount]" caption="Count of Amount" measure="1" displayFolder="" measureGroup="Data" count="0" hidden="1">
      <extLst>
        <ext xmlns:x15="http://schemas.microsoft.com/office/spreadsheetml/2010/11/main" uri="{B97F6D7D-B522-45F9-BDA1-12C45D357490}">
          <x15:cacheHierarchy aggregatedColumn="9"/>
        </ext>
      </extLst>
    </cacheHierarchy>
    <cacheHierarchy uniqueName="[Measures].[Average of Amount]" caption="Average of Amount" measure="1" displayFolder="" measureGroup="Data" count="0" hidden="1">
      <extLst>
        <ext xmlns:x15="http://schemas.microsoft.com/office/spreadsheetml/2010/11/main" uri="{B97F6D7D-B522-45F9-BDA1-12C45D357490}">
          <x15:cacheHierarchy aggregatedColumn="9"/>
        </ext>
      </extLst>
    </cacheHierarchy>
    <cacheHierarchy uniqueName="[Measures].[Sum of Order ID]" caption="Sum of Order ID" measure="1" displayFolder="" measureGroup="Data" count="0" hidden="1">
      <extLst>
        <ext xmlns:x15="http://schemas.microsoft.com/office/spreadsheetml/2010/11/main" uri="{B97F6D7D-B522-45F9-BDA1-12C45D357490}">
          <x15:cacheHierarchy aggregatedColumn="0"/>
        </ext>
      </extLst>
    </cacheHierarchy>
    <cacheHierarchy uniqueName="[Measures].[Count of Order ID]" caption="Count of Order ID" measure="1" displayFolder="" measureGroup="Data" count="0" hidden="1">
      <extLst>
        <ext xmlns:x15="http://schemas.microsoft.com/office/spreadsheetml/2010/11/main" uri="{B97F6D7D-B522-45F9-BDA1-12C45D357490}">
          <x15:cacheHierarchy aggregatedColumn="0"/>
        </ext>
      </extLst>
    </cacheHierarchy>
  </cacheHierarchies>
  <kpis count="0"/>
  <dimensions count="2">
    <dimension name="Data" uniqueName="[Data]" caption="Data"/>
    <dimension measure="1" name="Measures" uniqueName="[Measures]" caption="Measures"/>
  </dimensions>
  <measureGroups count="1">
    <measureGroup name="Data" caption="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med" refreshedDate="46043.806661458337" backgroundQuery="1" createdVersion="8" refreshedVersion="8" minRefreshableVersion="3" recordCount="0" supportSubquery="1" supportAdvancedDrill="1" xr:uid="{05D614B3-EF8C-4CDE-8117-4C92F04125BC}">
  <cacheSource type="external" connectionId="2"/>
  <cacheFields count="2">
    <cacheField name="[Measures].[Count of Order ID]" caption="Count of Order ID" numFmtId="0" hierarchy="16" level="32767"/>
    <cacheField name="[Data].[Country].[Country]" caption="Country" numFmtId="0" hierarchy="4" level="1">
      <sharedItems containsSemiMixedTypes="0" containsNonDate="0" containsString="0"/>
    </cacheField>
  </cacheFields>
  <cacheHierarchies count="17">
    <cacheHierarchy uniqueName="[Data].[Order ID]" caption="Order ID" attribute="1" defaultMemberUniqueName="[Data].[Order ID].[All]" allUniqueName="[Data].[Order ID].[All]" dimensionUniqueName="[Data]" displayFolder="" count="0" memberValueDatatype="20" unbalanced="0"/>
    <cacheHierarchy uniqueName="[Data].[Date]" caption="Date" attribute="1" time="1" defaultMemberUniqueName="[Data].[Date].[All]" allUniqueName="[Data].[Date].[All]" dimensionUniqueName="[Data]" displayFolder="" count="0" memberValueDatatype="7" unbalanced="0"/>
    <cacheHierarchy uniqueName="[Data].[Product]" caption="Product" attribute="1" defaultMemberUniqueName="[Data].[Product].[All]" allUniqueName="[Data].[Product].[All]" dimensionUniqueName="[Data]" displayFolder="" count="0" memberValueDatatype="130" unbalanced="0"/>
    <cacheHierarchy uniqueName="[Data].[Category]" caption="Category" attribute="1" defaultMemberUniqueName="[Data].[Category].[All]" allUniqueName="[Data].[Category].[All]" dimensionUniqueName="[Data]" displayFolder="" count="2" memberValueDatatype="130" unbalanced="0"/>
    <cacheHierarchy uniqueName="[Data].[Country]" caption="Country" attribute="1" defaultMemberUniqueName="[Data].[Country].[All]" allUniqueName="[Data].[Country].[All]" dimensionUniqueName="[Data]" displayFolder="" count="2" memberValueDatatype="130" unbalanced="0">
      <fieldsUsage count="2">
        <fieldUsage x="-1"/>
        <fieldUsage x="1"/>
      </fieldsUsage>
    </cacheHierarchy>
    <cacheHierarchy uniqueName="[Data].[Region]" caption="Region" attribute="1" defaultMemberUniqueName="[Data].[Region].[All]" allUniqueName="[Data].[Region].[All]" dimensionUniqueName="[Data]" displayFolder="" count="2" memberValueDatatype="130" unbalanced="0"/>
    <cacheHierarchy uniqueName="[Data].[Month]" caption="Month" attribute="1" defaultMemberUniqueName="[Data].[Month].[All]" allUniqueName="[Data].[Month].[All]" dimensionUniqueName="[Data]" displayFolder="" count="0" memberValueDatatype="130" unbalanced="0"/>
    <cacheHierarchy uniqueName="[Data].[Year]" caption="Year" attribute="1" defaultMemberUniqueName="[Data].[Year].[All]" allUniqueName="[Data].[Year].[All]" dimensionUniqueName="[Data]" displayFolder="" count="2" memberValueDatatype="20" unbalanced="0"/>
    <cacheHierarchy uniqueName="[Data].[Quarter]" caption="Quarter" attribute="1" defaultMemberUniqueName="[Data].[Quarter].[All]" allUniqueName="[Data].[Quarter].[All]" dimensionUniqueName="[Data]" displayFolder="" count="2" memberValueDatatype="130" unbalanced="0"/>
    <cacheHierarchy uniqueName="[Data].[Amount]" caption="Amount" attribute="1" defaultMemberUniqueName="[Data].[Amount].[All]" allUniqueName="[Data].[Amount].[All]" dimensionUniqueName="[Data]" displayFolder="" count="0" memberValueDatatype="20" unbalanced="0"/>
    <cacheHierarchy uniqueName="[Measures].[__XL_Count Data]" caption="__XL_Count Data" measure="1" displayFolder="" measureGroup="Data" count="0" hidden="1"/>
    <cacheHierarchy uniqueName="[Measures].[__No measures defined]" caption="__No measures defined" measure="1" displayFolder="" count="0" hidden="1"/>
    <cacheHierarchy uniqueName="[Measures].[Sum of Amount]" caption="Sum of Amount" measure="1" displayFolder="" measureGroup="Data" count="0" hidden="1">
      <extLst>
        <ext xmlns:x15="http://schemas.microsoft.com/office/spreadsheetml/2010/11/main" uri="{B97F6D7D-B522-45F9-BDA1-12C45D357490}">
          <x15:cacheHierarchy aggregatedColumn="9"/>
        </ext>
      </extLst>
    </cacheHierarchy>
    <cacheHierarchy uniqueName="[Measures].[Count of Amount]" caption="Count of Amount" measure="1" displayFolder="" measureGroup="Data" count="0" hidden="1">
      <extLst>
        <ext xmlns:x15="http://schemas.microsoft.com/office/spreadsheetml/2010/11/main" uri="{B97F6D7D-B522-45F9-BDA1-12C45D357490}">
          <x15:cacheHierarchy aggregatedColumn="9"/>
        </ext>
      </extLst>
    </cacheHierarchy>
    <cacheHierarchy uniqueName="[Measures].[Average of Amount]" caption="Average of Amount" measure="1" displayFolder="" measureGroup="Data" count="0" hidden="1">
      <extLst>
        <ext xmlns:x15="http://schemas.microsoft.com/office/spreadsheetml/2010/11/main" uri="{B97F6D7D-B522-45F9-BDA1-12C45D357490}">
          <x15:cacheHierarchy aggregatedColumn="9"/>
        </ext>
      </extLst>
    </cacheHierarchy>
    <cacheHierarchy uniqueName="[Measures].[Sum of Order ID]" caption="Sum of Order ID" measure="1" displayFolder="" measureGroup="Data" count="0" hidden="1">
      <extLst>
        <ext xmlns:x15="http://schemas.microsoft.com/office/spreadsheetml/2010/11/main" uri="{B97F6D7D-B522-45F9-BDA1-12C45D357490}">
          <x15:cacheHierarchy aggregatedColumn="0"/>
        </ext>
      </extLst>
    </cacheHierarchy>
    <cacheHierarchy uniqueName="[Measures].[Count of Order ID]" caption="Count of Order ID" measure="1" displayFolder="" measureGroup="Data" count="0" oneField="1" hidden="1">
      <fieldsUsage count="1">
        <fieldUsage x="0"/>
      </fieldsUsage>
      <extLst>
        <ext xmlns:x15="http://schemas.microsoft.com/office/spreadsheetml/2010/11/main" uri="{B97F6D7D-B522-45F9-BDA1-12C45D357490}">
          <x15:cacheHierarchy aggregatedColumn="0"/>
        </ext>
      </extLst>
    </cacheHierarchy>
  </cacheHierarchies>
  <kpis count="0"/>
  <dimensions count="2">
    <dimension name="Data" uniqueName="[Data]" caption="Data"/>
    <dimension measure="1" name="Measures" uniqueName="[Measures]" caption="Measures"/>
  </dimensions>
  <measureGroups count="1">
    <measureGroup name="Data" caption="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med" refreshedDate="46043.806661805553" backgroundQuery="1" createdVersion="8" refreshedVersion="8" minRefreshableVersion="3" recordCount="0" supportSubquery="1" supportAdvancedDrill="1" xr:uid="{1F6CB775-FDDA-4F45-8D1B-77812DCAC284}">
  <cacheSource type="external" connectionId="2"/>
  <cacheFields count="2">
    <cacheField name="[Measures].[Average of Amount]" caption="Average of Amount" numFmtId="0" hierarchy="14" level="32767"/>
    <cacheField name="[Data].[Country].[Country]" caption="Country" numFmtId="0" hierarchy="4" level="1">
      <sharedItems containsSemiMixedTypes="0" containsNonDate="0" containsString="0"/>
    </cacheField>
  </cacheFields>
  <cacheHierarchies count="17">
    <cacheHierarchy uniqueName="[Data].[Order ID]" caption="Order ID" attribute="1" defaultMemberUniqueName="[Data].[Order ID].[All]" allUniqueName="[Data].[Order ID].[All]" dimensionUniqueName="[Data]" displayFolder="" count="0" memberValueDatatype="20" unbalanced="0"/>
    <cacheHierarchy uniqueName="[Data].[Date]" caption="Date" attribute="1" time="1" defaultMemberUniqueName="[Data].[Date].[All]" allUniqueName="[Data].[Date].[All]" dimensionUniqueName="[Data]" displayFolder="" count="0" memberValueDatatype="7" unbalanced="0"/>
    <cacheHierarchy uniqueName="[Data].[Product]" caption="Product" attribute="1" defaultMemberUniqueName="[Data].[Product].[All]" allUniqueName="[Data].[Product].[All]" dimensionUniqueName="[Data]" displayFolder="" count="0" memberValueDatatype="130" unbalanced="0"/>
    <cacheHierarchy uniqueName="[Data].[Category]" caption="Category" attribute="1" defaultMemberUniqueName="[Data].[Category].[All]" allUniqueName="[Data].[Category].[All]" dimensionUniqueName="[Data]" displayFolder="" count="2" memberValueDatatype="130" unbalanced="0"/>
    <cacheHierarchy uniqueName="[Data].[Country]" caption="Country" attribute="1" defaultMemberUniqueName="[Data].[Country].[All]" allUniqueName="[Data].[Country].[All]" dimensionUniqueName="[Data]" displayFolder="" count="2" memberValueDatatype="130" unbalanced="0">
      <fieldsUsage count="2">
        <fieldUsage x="-1"/>
        <fieldUsage x="1"/>
      </fieldsUsage>
    </cacheHierarchy>
    <cacheHierarchy uniqueName="[Data].[Region]" caption="Region" attribute="1" defaultMemberUniqueName="[Data].[Region].[All]" allUniqueName="[Data].[Region].[All]" dimensionUniqueName="[Data]" displayFolder="" count="2" memberValueDatatype="130" unbalanced="0"/>
    <cacheHierarchy uniqueName="[Data].[Month]" caption="Month" attribute="1" defaultMemberUniqueName="[Data].[Month].[All]" allUniqueName="[Data].[Month].[All]" dimensionUniqueName="[Data]" displayFolder="" count="0" memberValueDatatype="130" unbalanced="0"/>
    <cacheHierarchy uniqueName="[Data].[Year]" caption="Year" attribute="1" defaultMemberUniqueName="[Data].[Year].[All]" allUniqueName="[Data].[Year].[All]" dimensionUniqueName="[Data]" displayFolder="" count="2" memberValueDatatype="20" unbalanced="0"/>
    <cacheHierarchy uniqueName="[Data].[Quarter]" caption="Quarter" attribute="1" defaultMemberUniqueName="[Data].[Quarter].[All]" allUniqueName="[Data].[Quarter].[All]" dimensionUniqueName="[Data]" displayFolder="" count="2" memberValueDatatype="130" unbalanced="0"/>
    <cacheHierarchy uniqueName="[Data].[Amount]" caption="Amount" attribute="1" defaultMemberUniqueName="[Data].[Amount].[All]" allUniqueName="[Data].[Amount].[All]" dimensionUniqueName="[Data]" displayFolder="" count="0" memberValueDatatype="20" unbalanced="0"/>
    <cacheHierarchy uniqueName="[Measures].[__XL_Count Data]" caption="__XL_Count Data" measure="1" displayFolder="" measureGroup="Data" count="0" hidden="1"/>
    <cacheHierarchy uniqueName="[Measures].[__No measures defined]" caption="__No measures defined" measure="1" displayFolder="" count="0" hidden="1"/>
    <cacheHierarchy uniqueName="[Measures].[Sum of Amount]" caption="Sum of Amount" measure="1" displayFolder="" measureGroup="Data" count="0" hidden="1">
      <extLst>
        <ext xmlns:x15="http://schemas.microsoft.com/office/spreadsheetml/2010/11/main" uri="{B97F6D7D-B522-45F9-BDA1-12C45D357490}">
          <x15:cacheHierarchy aggregatedColumn="9"/>
        </ext>
      </extLst>
    </cacheHierarchy>
    <cacheHierarchy uniqueName="[Measures].[Count of Amount]" caption="Count of Amount" measure="1" displayFolder="" measureGroup="Data" count="0" hidden="1">
      <extLst>
        <ext xmlns:x15="http://schemas.microsoft.com/office/spreadsheetml/2010/11/main" uri="{B97F6D7D-B522-45F9-BDA1-12C45D357490}">
          <x15:cacheHierarchy aggregatedColumn="9"/>
        </ext>
      </extLst>
    </cacheHierarchy>
    <cacheHierarchy uniqueName="[Measures].[Average of Amount]" caption="Average of Amount" measure="1" displayFolder="" measureGroup="Data" count="0" oneField="1" hidden="1">
      <fieldsUsage count="1">
        <fieldUsage x="0"/>
      </fieldsUsage>
      <extLst>
        <ext xmlns:x15="http://schemas.microsoft.com/office/spreadsheetml/2010/11/main" uri="{B97F6D7D-B522-45F9-BDA1-12C45D357490}">
          <x15:cacheHierarchy aggregatedColumn="9"/>
        </ext>
      </extLst>
    </cacheHierarchy>
    <cacheHierarchy uniqueName="[Measures].[Sum of Order ID]" caption="Sum of Order ID" measure="1" displayFolder="" measureGroup="Data" count="0" hidden="1">
      <extLst>
        <ext xmlns:x15="http://schemas.microsoft.com/office/spreadsheetml/2010/11/main" uri="{B97F6D7D-B522-45F9-BDA1-12C45D357490}">
          <x15:cacheHierarchy aggregatedColumn="0"/>
        </ext>
      </extLst>
    </cacheHierarchy>
    <cacheHierarchy uniqueName="[Measures].[Count of Order ID]" caption="Count of Order ID" measure="1" displayFolder="" measureGroup="Data" count="0" hidden="1">
      <extLst>
        <ext xmlns:x15="http://schemas.microsoft.com/office/spreadsheetml/2010/11/main" uri="{B97F6D7D-B522-45F9-BDA1-12C45D357490}">
          <x15:cacheHierarchy aggregatedColumn="0"/>
        </ext>
      </extLst>
    </cacheHierarchy>
  </cacheHierarchies>
  <kpis count="0"/>
  <dimensions count="2">
    <dimension name="Data" uniqueName="[Data]" caption="Data"/>
    <dimension measure="1" name="Measures" uniqueName="[Measures]" caption="Measures"/>
  </dimensions>
  <measureGroups count="1">
    <measureGroup name="Data" caption="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med" refreshedDate="46043.806662384261" backgroundQuery="1" createdVersion="8" refreshedVersion="8" minRefreshableVersion="3" recordCount="0" supportSubquery="1" supportAdvancedDrill="1" xr:uid="{6C58F477-943B-40C4-BC7C-831535D6ECBE}">
  <cacheSource type="external" connectionId="2"/>
  <cacheFields count="4">
    <cacheField name="[Data].[Region].[Region]" caption="Region" numFmtId="0" hierarchy="5" level="1">
      <sharedItems count="4">
        <s v="East"/>
        <s v="North"/>
        <s v="South"/>
        <s v="West"/>
      </sharedItems>
    </cacheField>
    <cacheField name="[Measures].[Sum of Amount]" caption="Sum of Amount" numFmtId="0" hierarchy="12" level="32767"/>
    <cacheField name="[Data].[Year].[Year]" caption="Year" numFmtId="0" hierarchy="7" level="1">
      <sharedItems containsSemiMixedTypes="0" containsNonDate="0" containsString="0"/>
    </cacheField>
    <cacheField name="[Data].[Country].[Country]" caption="Country" numFmtId="0" hierarchy="4" level="1">
      <sharedItems containsSemiMixedTypes="0" containsNonDate="0" containsString="0"/>
    </cacheField>
  </cacheFields>
  <cacheHierarchies count="17">
    <cacheHierarchy uniqueName="[Data].[Order ID]" caption="Order ID" attribute="1" defaultMemberUniqueName="[Data].[Order ID].[All]" allUniqueName="[Data].[Order ID].[All]" dimensionUniqueName="[Data]" displayFolder="" count="2" memberValueDatatype="20" unbalanced="0"/>
    <cacheHierarchy uniqueName="[Data].[Date]" caption="Date" attribute="1" time="1" defaultMemberUniqueName="[Data].[Date].[All]" allUniqueName="[Data].[Date].[All]" dimensionUniqueName="[Data]" displayFolder="" count="2" memberValueDatatype="7" unbalanced="0"/>
    <cacheHierarchy uniqueName="[Data].[Product]" caption="Product" attribute="1" defaultMemberUniqueName="[Data].[Product].[All]" allUniqueName="[Data].[Product].[All]" dimensionUniqueName="[Data]" displayFolder="" count="2" memberValueDatatype="130" unbalanced="0"/>
    <cacheHierarchy uniqueName="[Data].[Category]" caption="Category" attribute="1" defaultMemberUniqueName="[Data].[Category].[All]" allUniqueName="[Data].[Category].[All]" dimensionUniqueName="[Data]" displayFolder="" count="2" memberValueDatatype="130" unbalanced="0"/>
    <cacheHierarchy uniqueName="[Data].[Country]" caption="Country" attribute="1" defaultMemberUniqueName="[Data].[Country].[All]" allUniqueName="[Data].[Country].[All]" dimensionUniqueName="[Data]" displayFolder="" count="2" memberValueDatatype="130" unbalanced="0">
      <fieldsUsage count="2">
        <fieldUsage x="-1"/>
        <fieldUsage x="3"/>
      </fieldsUsage>
    </cacheHierarchy>
    <cacheHierarchy uniqueName="[Data].[Region]" caption="Region" attribute="1" defaultMemberUniqueName="[Data].[Region].[All]" allUniqueName="[Data].[Region].[All]" dimensionUniqueName="[Data]" displayFolder="" count="2" memberValueDatatype="130" unbalanced="0">
      <fieldsUsage count="2">
        <fieldUsage x="-1"/>
        <fieldUsage x="0"/>
      </fieldsUsage>
    </cacheHierarchy>
    <cacheHierarchy uniqueName="[Data].[Month]" caption="Month" attribute="1" defaultMemberUniqueName="[Data].[Month].[All]" allUniqueName="[Data].[Month].[All]" dimensionUniqueName="[Data]" displayFolder="" count="2" memberValueDatatype="130" unbalanced="0"/>
    <cacheHierarchy uniqueName="[Data].[Year]" caption="Year" attribute="1" defaultMemberUniqueName="[Data].[Year].[All]" allUniqueName="[Data].[Year].[All]" dimensionUniqueName="[Data]" displayFolder="" count="2" memberValueDatatype="20" unbalanced="0">
      <fieldsUsage count="2">
        <fieldUsage x="-1"/>
        <fieldUsage x="2"/>
      </fieldsUsage>
    </cacheHierarchy>
    <cacheHierarchy uniqueName="[Data].[Quarter]" caption="Quarter" attribute="1" defaultMemberUniqueName="[Data].[Quarter].[All]" allUniqueName="[Data].[Quarter].[All]" dimensionUniqueName="[Data]" displayFolder="" count="2" memberValueDatatype="130" unbalanced="0"/>
    <cacheHierarchy uniqueName="[Data].[Amount]" caption="Amount" attribute="1" defaultMemberUniqueName="[Data].[Amount].[All]" allUniqueName="[Data].[Amount].[All]" dimensionUniqueName="[Data]" displayFolder="" count="2" memberValueDatatype="20" unbalanced="0"/>
    <cacheHierarchy uniqueName="[Measures].[__XL_Count Data]" caption="__XL_Count Data" measure="1" displayFolder="" measureGroup="Data" count="0" hidden="1"/>
    <cacheHierarchy uniqueName="[Measures].[__No measures defined]" caption="__No measures defined" measure="1" displayFolder="" count="0" hidden="1"/>
    <cacheHierarchy uniqueName="[Measures].[Sum of Amount]" caption="Sum of Amount" measure="1" displayFolder="" measureGroup="Data" count="0" oneField="1" hidden="1">
      <fieldsUsage count="1">
        <fieldUsage x="1"/>
      </fieldsUsage>
      <extLst>
        <ext xmlns:x15="http://schemas.microsoft.com/office/spreadsheetml/2010/11/main" uri="{B97F6D7D-B522-45F9-BDA1-12C45D357490}">
          <x15:cacheHierarchy aggregatedColumn="9"/>
        </ext>
      </extLst>
    </cacheHierarchy>
    <cacheHierarchy uniqueName="[Measures].[Count of Amount]" caption="Count of Amount" measure="1" displayFolder="" measureGroup="Data" count="0" hidden="1">
      <extLst>
        <ext xmlns:x15="http://schemas.microsoft.com/office/spreadsheetml/2010/11/main" uri="{B97F6D7D-B522-45F9-BDA1-12C45D357490}">
          <x15:cacheHierarchy aggregatedColumn="9"/>
        </ext>
      </extLst>
    </cacheHierarchy>
    <cacheHierarchy uniqueName="[Measures].[Average of Amount]" caption="Average of Amount" measure="1" displayFolder="" measureGroup="Data" count="0" hidden="1">
      <extLst>
        <ext xmlns:x15="http://schemas.microsoft.com/office/spreadsheetml/2010/11/main" uri="{B97F6D7D-B522-45F9-BDA1-12C45D357490}">
          <x15:cacheHierarchy aggregatedColumn="9"/>
        </ext>
      </extLst>
    </cacheHierarchy>
    <cacheHierarchy uniqueName="[Measures].[Sum of Order ID]" caption="Sum of Order ID" measure="1" displayFolder="" measureGroup="Data" count="0" hidden="1">
      <extLst>
        <ext xmlns:x15="http://schemas.microsoft.com/office/spreadsheetml/2010/11/main" uri="{B97F6D7D-B522-45F9-BDA1-12C45D357490}">
          <x15:cacheHierarchy aggregatedColumn="0"/>
        </ext>
      </extLst>
    </cacheHierarchy>
    <cacheHierarchy uniqueName="[Measures].[Count of Order ID]" caption="Count of Order ID" measure="1" displayFolder="" measureGroup="Data" count="0" hidden="1">
      <extLst>
        <ext xmlns:x15="http://schemas.microsoft.com/office/spreadsheetml/2010/11/main" uri="{B97F6D7D-B522-45F9-BDA1-12C45D357490}">
          <x15:cacheHierarchy aggregatedColumn="0"/>
        </ext>
      </extLst>
    </cacheHierarchy>
  </cacheHierarchies>
  <kpis count="0"/>
  <dimensions count="2">
    <dimension name="Data" uniqueName="[Data]" caption="Data"/>
    <dimension measure="1" name="Measures" uniqueName="[Measures]" caption="Measures"/>
  </dimensions>
  <measureGroups count="1">
    <measureGroup name="Data" caption="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med" refreshedDate="46043.806662962961" backgroundQuery="1" createdVersion="8" refreshedVersion="8" minRefreshableVersion="3" recordCount="0" supportSubquery="1" supportAdvancedDrill="1" xr:uid="{3E1770F3-8E70-4681-92D1-B6234D31FDDB}">
  <cacheSource type="external" connectionId="2"/>
  <cacheFields count="3">
    <cacheField name="[Data].[Product].[Product]" caption="Product" numFmtId="0" hierarchy="2" level="1">
      <sharedItems count="7">
        <s v="Apple"/>
        <s v="Banana"/>
        <s v="Beans"/>
        <s v="Broccoli"/>
        <s v="Carrots"/>
        <s v="Mango"/>
        <s v="Orange"/>
      </sharedItems>
    </cacheField>
    <cacheField name="[Measures].[Count of Amount]" caption="Count of Amount" numFmtId="0" hierarchy="13" level="32767"/>
    <cacheField name="[Data].[Country].[Country]" caption="Country" numFmtId="0" hierarchy="4" level="1">
      <sharedItems containsSemiMixedTypes="0" containsNonDate="0" containsString="0"/>
    </cacheField>
  </cacheFields>
  <cacheHierarchies count="17">
    <cacheHierarchy uniqueName="[Data].[Order ID]" caption="Order ID" attribute="1" defaultMemberUniqueName="[Data].[Order ID].[All]" allUniqueName="[Data].[Order ID].[All]" dimensionUniqueName="[Data]" displayFolder="" count="0" memberValueDatatype="20" unbalanced="0"/>
    <cacheHierarchy uniqueName="[Data].[Date]" caption="Date" attribute="1" time="1" defaultMemberUniqueName="[Data].[Date].[All]" allUniqueName="[Data].[Date].[All]" dimensionUniqueName="[Data]" displayFolder="" count="0" memberValueDatatype="7" unbalanced="0"/>
    <cacheHierarchy uniqueName="[Data].[Product]" caption="Product" attribute="1" defaultMemberUniqueName="[Data].[Product].[All]" allUniqueName="[Data].[Product].[All]" dimensionUniqueName="[Data]" displayFolder="" count="2" memberValueDatatype="130" unbalanced="0">
      <fieldsUsage count="2">
        <fieldUsage x="-1"/>
        <fieldUsage x="0"/>
      </fieldsUsage>
    </cacheHierarchy>
    <cacheHierarchy uniqueName="[Data].[Category]" caption="Category" attribute="1" defaultMemberUniqueName="[Data].[Category].[All]" allUniqueName="[Data].[Category].[All]" dimensionUniqueName="[Data]" displayFolder="" count="2" memberValueDatatype="130" unbalanced="0"/>
    <cacheHierarchy uniqueName="[Data].[Country]" caption="Country" attribute="1" defaultMemberUniqueName="[Data].[Country].[All]" allUniqueName="[Data].[Country].[All]" dimensionUniqueName="[Data]" displayFolder="" count="2" memberValueDatatype="130" unbalanced="0">
      <fieldsUsage count="2">
        <fieldUsage x="-1"/>
        <fieldUsage x="2"/>
      </fieldsUsage>
    </cacheHierarchy>
    <cacheHierarchy uniqueName="[Data].[Region]" caption="Region" attribute="1" defaultMemberUniqueName="[Data].[Region].[All]" allUniqueName="[Data].[Region].[All]" dimensionUniqueName="[Data]" displayFolder="" count="2" memberValueDatatype="130" unbalanced="0"/>
    <cacheHierarchy uniqueName="[Data].[Month]" caption="Month" attribute="1" defaultMemberUniqueName="[Data].[Month].[All]" allUniqueName="[Data].[Month].[All]" dimensionUniqueName="[Data]" displayFolder="" count="0" memberValueDatatype="130" unbalanced="0"/>
    <cacheHierarchy uniqueName="[Data].[Year]" caption="Year" attribute="1" defaultMemberUniqueName="[Data].[Year].[All]" allUniqueName="[Data].[Year].[All]" dimensionUniqueName="[Data]" displayFolder="" count="2" memberValueDatatype="20" unbalanced="0"/>
    <cacheHierarchy uniqueName="[Data].[Quarter]" caption="Quarter" attribute="1" defaultMemberUniqueName="[Data].[Quarter].[All]" allUniqueName="[Data].[Quarter].[All]" dimensionUniqueName="[Data]" displayFolder="" count="2" memberValueDatatype="130" unbalanced="0"/>
    <cacheHierarchy uniqueName="[Data].[Amount]" caption="Amount" attribute="1" defaultMemberUniqueName="[Data].[Amount].[All]" allUniqueName="[Data].[Amount].[All]" dimensionUniqueName="[Data]" displayFolder="" count="0" memberValueDatatype="20" unbalanced="0"/>
    <cacheHierarchy uniqueName="[Measures].[__XL_Count Data]" caption="__XL_Count Data" measure="1" displayFolder="" measureGroup="Data" count="0" hidden="1"/>
    <cacheHierarchy uniqueName="[Measures].[__No measures defined]" caption="__No measures defined" measure="1" displayFolder="" count="0" hidden="1"/>
    <cacheHierarchy uniqueName="[Measures].[Sum of Amount]" caption="Sum of Amount" measure="1" displayFolder="" measureGroup="Data" count="0" hidden="1">
      <extLst>
        <ext xmlns:x15="http://schemas.microsoft.com/office/spreadsheetml/2010/11/main" uri="{B97F6D7D-B522-45F9-BDA1-12C45D357490}">
          <x15:cacheHierarchy aggregatedColumn="9"/>
        </ext>
      </extLst>
    </cacheHierarchy>
    <cacheHierarchy uniqueName="[Measures].[Count of Amount]" caption="Count of Amount" measure="1" displayFolder="" measureGroup="Data" count="0" oneField="1" hidden="1">
      <fieldsUsage count="1">
        <fieldUsage x="1"/>
      </fieldsUsage>
      <extLst>
        <ext xmlns:x15="http://schemas.microsoft.com/office/spreadsheetml/2010/11/main" uri="{B97F6D7D-B522-45F9-BDA1-12C45D357490}">
          <x15:cacheHierarchy aggregatedColumn="9"/>
        </ext>
      </extLst>
    </cacheHierarchy>
    <cacheHierarchy uniqueName="[Measures].[Average of Amount]" caption="Average of Amount" measure="1" displayFolder="" measureGroup="Data" count="0" hidden="1">
      <extLst>
        <ext xmlns:x15="http://schemas.microsoft.com/office/spreadsheetml/2010/11/main" uri="{B97F6D7D-B522-45F9-BDA1-12C45D357490}">
          <x15:cacheHierarchy aggregatedColumn="9"/>
        </ext>
      </extLst>
    </cacheHierarchy>
    <cacheHierarchy uniqueName="[Measures].[Sum of Order ID]" caption="Sum of Order ID" measure="1" displayFolder="" measureGroup="Data" count="0" hidden="1">
      <extLst>
        <ext xmlns:x15="http://schemas.microsoft.com/office/spreadsheetml/2010/11/main" uri="{B97F6D7D-B522-45F9-BDA1-12C45D357490}">
          <x15:cacheHierarchy aggregatedColumn="0"/>
        </ext>
      </extLst>
    </cacheHierarchy>
    <cacheHierarchy uniqueName="[Measures].[Count of Order ID]" caption="Count of Order ID" measure="1" displayFolder="" measureGroup="Data" count="0" hidden="1">
      <extLst>
        <ext xmlns:x15="http://schemas.microsoft.com/office/spreadsheetml/2010/11/main" uri="{B97F6D7D-B522-45F9-BDA1-12C45D357490}">
          <x15:cacheHierarchy aggregatedColumn="0"/>
        </ext>
      </extLst>
    </cacheHierarchy>
  </cacheHierarchies>
  <kpis count="0"/>
  <dimensions count="2">
    <dimension name="Data" uniqueName="[Data]" caption="Data"/>
    <dimension measure="1" name="Measures" uniqueName="[Measures]" caption="Measures"/>
  </dimensions>
  <measureGroups count="1">
    <measureGroup name="Data" caption="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med" refreshedDate="46043.806663541669" backgroundQuery="1" createdVersion="8" refreshedVersion="8" minRefreshableVersion="3" recordCount="0" supportSubquery="1" supportAdvancedDrill="1" xr:uid="{4AB7749B-DA1A-4A49-9063-B4D9D2036573}">
  <cacheSource type="external" connectionId="2"/>
  <cacheFields count="5">
    <cacheField name="[Measures].[Sum of Amount]" caption="Sum of Amount" numFmtId="0" hierarchy="12" level="32767"/>
    <cacheField name="[Data].[Country].[Country]" caption="Country" numFmtId="0" hierarchy="4" level="1">
      <sharedItems count="8">
        <s v="Australia"/>
        <s v="Canada"/>
        <s v="EGY"/>
        <s v="France"/>
        <s v="Germany"/>
        <s v="New Zealand"/>
        <s v="UK"/>
        <s v="US"/>
      </sharedItems>
    </cacheField>
    <cacheField name="[Data].[Category].[Category]" caption="Category" numFmtId="0" hierarchy="3" level="1">
      <sharedItems count="2">
        <s v="Fruit"/>
        <s v="Vegetables"/>
      </sharedItems>
    </cacheField>
    <cacheField name="[Data].[Product].[Product]" caption="Product" numFmtId="0" hierarchy="2" level="1">
      <sharedItems count="7">
        <s v="Apple"/>
        <s v="Banana"/>
        <s v="Mango"/>
        <s v="Orange"/>
        <s v="Beans"/>
        <s v="Broccoli"/>
        <s v="Carrots"/>
      </sharedItems>
    </cacheField>
    <cacheField name="[Data].[Region].[Region]" caption="Region" numFmtId="0" hierarchy="5" level="1">
      <sharedItems count="4">
        <s v="East"/>
        <s v="North"/>
        <s v="South"/>
        <s v="West"/>
      </sharedItems>
    </cacheField>
  </cacheFields>
  <cacheHierarchies count="17">
    <cacheHierarchy uniqueName="[Data].[Order ID]" caption="Order ID" attribute="1" defaultMemberUniqueName="[Data].[Order ID].[All]" allUniqueName="[Data].[Order ID].[All]" dimensionUniqueName="[Data]" displayFolder="" count="0" memberValueDatatype="20" unbalanced="0"/>
    <cacheHierarchy uniqueName="[Data].[Date]" caption="Date" attribute="1" time="1" defaultMemberUniqueName="[Data].[Date].[All]" allUniqueName="[Data].[Date].[All]" dimensionUniqueName="[Data]" displayFolder="" count="0" memberValueDatatype="7" unbalanced="0"/>
    <cacheHierarchy uniqueName="[Data].[Product]" caption="Product" attribute="1" defaultMemberUniqueName="[Data].[Product].[All]" allUniqueName="[Data].[Product].[All]" dimensionUniqueName="[Data]" displayFolder="" count="2" memberValueDatatype="130" unbalanced="0">
      <fieldsUsage count="2">
        <fieldUsage x="-1"/>
        <fieldUsage x="3"/>
      </fieldsUsage>
    </cacheHierarchy>
    <cacheHierarchy uniqueName="[Data].[Category]" caption="Category" attribute="1" defaultMemberUniqueName="[Data].[Category].[All]" allUniqueName="[Data].[Category].[All]" dimensionUniqueName="[Data]" displayFolder="" count="2" memberValueDatatype="130" unbalanced="0">
      <fieldsUsage count="2">
        <fieldUsage x="-1"/>
        <fieldUsage x="2"/>
      </fieldsUsage>
    </cacheHierarchy>
    <cacheHierarchy uniqueName="[Data].[Country]" caption="Country" attribute="1" defaultMemberUniqueName="[Data].[Country].[All]" allUniqueName="[Data].[Country].[All]" dimensionUniqueName="[Data]" displayFolder="" count="2" memberValueDatatype="130" unbalanced="0">
      <fieldsUsage count="2">
        <fieldUsage x="-1"/>
        <fieldUsage x="1"/>
      </fieldsUsage>
    </cacheHierarchy>
    <cacheHierarchy uniqueName="[Data].[Region]" caption="Region" attribute="1" defaultMemberUniqueName="[Data].[Region].[All]" allUniqueName="[Data].[Region].[All]" dimensionUniqueName="[Data]" displayFolder="" count="2" memberValueDatatype="130" unbalanced="0">
      <fieldsUsage count="2">
        <fieldUsage x="-1"/>
        <fieldUsage x="4"/>
      </fieldsUsage>
    </cacheHierarchy>
    <cacheHierarchy uniqueName="[Data].[Month]" caption="Month" attribute="1" defaultMemberUniqueName="[Data].[Month].[All]" allUniqueName="[Data].[Month].[All]" dimensionUniqueName="[Data]" displayFolder="" count="0" memberValueDatatype="130" unbalanced="0"/>
    <cacheHierarchy uniqueName="[Data].[Year]" caption="Year" attribute="1" defaultMemberUniqueName="[Data].[Year].[All]" allUniqueName="[Data].[Year].[All]" dimensionUniqueName="[Data]" displayFolder="" count="2" memberValueDatatype="20" unbalanced="0"/>
    <cacheHierarchy uniqueName="[Data].[Quarter]" caption="Quarter" attribute="1" defaultMemberUniqueName="[Data].[Quarter].[All]" allUniqueName="[Data].[Quarter].[All]" dimensionUniqueName="[Data]" displayFolder="" count="2" memberValueDatatype="130" unbalanced="0"/>
    <cacheHierarchy uniqueName="[Data].[Amount]" caption="Amount" attribute="1" defaultMemberUniqueName="[Data].[Amount].[All]" allUniqueName="[Data].[Amount].[All]" dimensionUniqueName="[Data]" displayFolder="" count="0" memberValueDatatype="20" unbalanced="0"/>
    <cacheHierarchy uniqueName="[Measures].[__XL_Count Data]" caption="__XL_Count Data" measure="1" displayFolder="" measureGroup="Data" count="0" hidden="1"/>
    <cacheHierarchy uniqueName="[Measures].[__No measures defined]" caption="__No measures defined" measure="1" displayFolder="" count="0" hidden="1"/>
    <cacheHierarchy uniqueName="[Measures].[Sum of Amount]" caption="Sum of Amount" measure="1" displayFolder="" measureGroup="Data" count="0" oneField="1" hidden="1">
      <fieldsUsage count="1">
        <fieldUsage x="0"/>
      </fieldsUsage>
      <extLst>
        <ext xmlns:x15="http://schemas.microsoft.com/office/spreadsheetml/2010/11/main" uri="{B97F6D7D-B522-45F9-BDA1-12C45D357490}">
          <x15:cacheHierarchy aggregatedColumn="9"/>
        </ext>
      </extLst>
    </cacheHierarchy>
    <cacheHierarchy uniqueName="[Measures].[Count of Amount]" caption="Count of Amount" measure="1" displayFolder="" measureGroup="Data" count="0" hidden="1">
      <extLst>
        <ext xmlns:x15="http://schemas.microsoft.com/office/spreadsheetml/2010/11/main" uri="{B97F6D7D-B522-45F9-BDA1-12C45D357490}">
          <x15:cacheHierarchy aggregatedColumn="9"/>
        </ext>
      </extLst>
    </cacheHierarchy>
    <cacheHierarchy uniqueName="[Measures].[Average of Amount]" caption="Average of Amount" measure="1" displayFolder="" measureGroup="Data" count="0" hidden="1">
      <extLst>
        <ext xmlns:x15="http://schemas.microsoft.com/office/spreadsheetml/2010/11/main" uri="{B97F6D7D-B522-45F9-BDA1-12C45D357490}">
          <x15:cacheHierarchy aggregatedColumn="9"/>
        </ext>
      </extLst>
    </cacheHierarchy>
    <cacheHierarchy uniqueName="[Measures].[Sum of Order ID]" caption="Sum of Order ID" measure="1" displayFolder="" measureGroup="Data" count="0" hidden="1">
      <extLst>
        <ext xmlns:x15="http://schemas.microsoft.com/office/spreadsheetml/2010/11/main" uri="{B97F6D7D-B522-45F9-BDA1-12C45D357490}">
          <x15:cacheHierarchy aggregatedColumn="0"/>
        </ext>
      </extLst>
    </cacheHierarchy>
    <cacheHierarchy uniqueName="[Measures].[Count of Order ID]" caption="Count of Order ID" measure="1" displayFolder="" measureGroup="Data" count="0" hidden="1">
      <extLst>
        <ext xmlns:x15="http://schemas.microsoft.com/office/spreadsheetml/2010/11/main" uri="{B97F6D7D-B522-45F9-BDA1-12C45D357490}">
          <x15:cacheHierarchy aggregatedColumn="0"/>
        </ext>
      </extLst>
    </cacheHierarchy>
  </cacheHierarchies>
  <kpis count="0"/>
  <dimensions count="2">
    <dimension name="Data" uniqueName="[Data]" caption="Data"/>
    <dimension measure="1" name="Measures" uniqueName="[Measures]" caption="Measures"/>
  </dimensions>
  <measureGroups count="1">
    <measureGroup name="Data" caption="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med" refreshedDate="46043.806664236108" backgroundQuery="1" createdVersion="8" refreshedVersion="8" minRefreshableVersion="3" recordCount="0" supportSubquery="1" supportAdvancedDrill="1" xr:uid="{9827BAD4-5259-4BEB-90B9-4AC1849527B3}">
  <cacheSource type="external" connectionId="2"/>
  <cacheFields count="4">
    <cacheField name="[Measures].[Sum of Amount]" caption="Sum of Amount" numFmtId="0" hierarchy="12" level="32767"/>
    <cacheField name="[Data].[Quarter].[Quarter]" caption="Quarter" numFmtId="0" hierarchy="8" level="1">
      <sharedItems count="4">
        <s v="Q1"/>
        <s v="Q2"/>
        <s v="Q3"/>
        <s v="Q4"/>
      </sharedItems>
    </cacheField>
    <cacheField name="[Data].[Year].[Year]" caption="Year" numFmtId="0" hierarchy="7" level="1">
      <sharedItems containsSemiMixedTypes="0" containsNonDate="0" containsString="0"/>
    </cacheField>
    <cacheField name="[Data].[Country].[Country]" caption="Country" numFmtId="0" hierarchy="4" level="1">
      <sharedItems containsSemiMixedTypes="0" containsNonDate="0" containsString="0"/>
    </cacheField>
  </cacheFields>
  <cacheHierarchies count="17">
    <cacheHierarchy uniqueName="[Data].[Order ID]" caption="Order ID" attribute="1" defaultMemberUniqueName="[Data].[Order ID].[All]" allUniqueName="[Data].[Order ID].[All]" dimensionUniqueName="[Data]" displayFolder="" count="0" memberValueDatatype="20" unbalanced="0"/>
    <cacheHierarchy uniqueName="[Data].[Date]" caption="Date" attribute="1" time="1" defaultMemberUniqueName="[Data].[Date].[All]" allUniqueName="[Data].[Date].[All]" dimensionUniqueName="[Data]" displayFolder="" count="0" memberValueDatatype="7" unbalanced="0"/>
    <cacheHierarchy uniqueName="[Data].[Product]" caption="Product" attribute="1" defaultMemberUniqueName="[Data].[Product].[All]" allUniqueName="[Data].[Product].[All]" dimensionUniqueName="[Data]" displayFolder="" count="0" memberValueDatatype="130" unbalanced="0"/>
    <cacheHierarchy uniqueName="[Data].[Category]" caption="Category" attribute="1" defaultMemberUniqueName="[Data].[Category].[All]" allUniqueName="[Data].[Category].[All]" dimensionUniqueName="[Data]" displayFolder="" count="2" memberValueDatatype="130" unbalanced="0"/>
    <cacheHierarchy uniqueName="[Data].[Country]" caption="Country" attribute="1" defaultMemberUniqueName="[Data].[Country].[All]" allUniqueName="[Data].[Country].[All]" dimensionUniqueName="[Data]" displayFolder="" count="2" memberValueDatatype="130" unbalanced="0">
      <fieldsUsage count="2">
        <fieldUsage x="-1"/>
        <fieldUsage x="3"/>
      </fieldsUsage>
    </cacheHierarchy>
    <cacheHierarchy uniqueName="[Data].[Region]" caption="Region" attribute="1" defaultMemberUniqueName="[Data].[Region].[All]" allUniqueName="[Data].[Region].[All]" dimensionUniqueName="[Data]" displayFolder="" count="2" memberValueDatatype="130" unbalanced="0"/>
    <cacheHierarchy uniqueName="[Data].[Month]" caption="Month" attribute="1" defaultMemberUniqueName="[Data].[Month].[All]" allUniqueName="[Data].[Month].[All]" dimensionUniqueName="[Data]" displayFolder="" count="0" memberValueDatatype="130" unbalanced="0"/>
    <cacheHierarchy uniqueName="[Data].[Year]" caption="Year" attribute="1" defaultMemberUniqueName="[Data].[Year].[All]" allUniqueName="[Data].[Year].[All]" dimensionUniqueName="[Data]" displayFolder="" count="2" memberValueDatatype="20" unbalanced="0">
      <fieldsUsage count="2">
        <fieldUsage x="-1"/>
        <fieldUsage x="2"/>
      </fieldsUsage>
    </cacheHierarchy>
    <cacheHierarchy uniqueName="[Data].[Quarter]" caption="Quarter" attribute="1" defaultMemberUniqueName="[Data].[Quarter].[All]" allUniqueName="[Data].[Quarter].[All]" dimensionUniqueName="[Data]" displayFolder="" count="2" memberValueDatatype="130" unbalanced="0">
      <fieldsUsage count="2">
        <fieldUsage x="-1"/>
        <fieldUsage x="1"/>
      </fieldsUsage>
    </cacheHierarchy>
    <cacheHierarchy uniqueName="[Data].[Amount]" caption="Amount" attribute="1" defaultMemberUniqueName="[Data].[Amount].[All]" allUniqueName="[Data].[Amount].[All]" dimensionUniqueName="[Data]" displayFolder="" count="0" memberValueDatatype="20" unbalanced="0"/>
    <cacheHierarchy uniqueName="[Measures].[__XL_Count Data]" caption="__XL_Count Data" measure="1" displayFolder="" measureGroup="Data" count="0" hidden="1"/>
    <cacheHierarchy uniqueName="[Measures].[__No measures defined]" caption="__No measures defined" measure="1" displayFolder="" count="0" hidden="1"/>
    <cacheHierarchy uniqueName="[Measures].[Sum of Amount]" caption="Sum of Amount" measure="1" displayFolder="" measureGroup="Data" count="0" oneField="1" hidden="1">
      <fieldsUsage count="1">
        <fieldUsage x="0"/>
      </fieldsUsage>
      <extLst>
        <ext xmlns:x15="http://schemas.microsoft.com/office/spreadsheetml/2010/11/main" uri="{B97F6D7D-B522-45F9-BDA1-12C45D357490}">
          <x15:cacheHierarchy aggregatedColumn="9"/>
        </ext>
      </extLst>
    </cacheHierarchy>
    <cacheHierarchy uniqueName="[Measures].[Count of Amount]" caption="Count of Amount" measure="1" displayFolder="" measureGroup="Data" count="0" hidden="1">
      <extLst>
        <ext xmlns:x15="http://schemas.microsoft.com/office/spreadsheetml/2010/11/main" uri="{B97F6D7D-B522-45F9-BDA1-12C45D357490}">
          <x15:cacheHierarchy aggregatedColumn="9"/>
        </ext>
      </extLst>
    </cacheHierarchy>
    <cacheHierarchy uniqueName="[Measures].[Average of Amount]" caption="Average of Amount" measure="1" displayFolder="" measureGroup="Data" count="0" hidden="1">
      <extLst>
        <ext xmlns:x15="http://schemas.microsoft.com/office/spreadsheetml/2010/11/main" uri="{B97F6D7D-B522-45F9-BDA1-12C45D357490}">
          <x15:cacheHierarchy aggregatedColumn="9"/>
        </ext>
      </extLst>
    </cacheHierarchy>
    <cacheHierarchy uniqueName="[Measures].[Sum of Order ID]" caption="Sum of Order ID" measure="1" displayFolder="" measureGroup="Data" count="0" hidden="1">
      <extLst>
        <ext xmlns:x15="http://schemas.microsoft.com/office/spreadsheetml/2010/11/main" uri="{B97F6D7D-B522-45F9-BDA1-12C45D357490}">
          <x15:cacheHierarchy aggregatedColumn="0"/>
        </ext>
      </extLst>
    </cacheHierarchy>
    <cacheHierarchy uniqueName="[Measures].[Count of Order ID]" caption="Count of Order ID" measure="1" displayFolder="" measureGroup="Data" count="0" hidden="1">
      <extLst>
        <ext xmlns:x15="http://schemas.microsoft.com/office/spreadsheetml/2010/11/main" uri="{B97F6D7D-B522-45F9-BDA1-12C45D357490}">
          <x15:cacheHierarchy aggregatedColumn="0"/>
        </ext>
      </extLst>
    </cacheHierarchy>
  </cacheHierarchies>
  <kpis count="0"/>
  <dimensions count="2">
    <dimension name="Data" uniqueName="[Data]" caption="Data"/>
    <dimension measure="1" name="Measures" uniqueName="[Measures]" caption="Measures"/>
  </dimensions>
  <measureGroups count="1">
    <measureGroup name="Data" caption="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med" refreshedDate="46043.806664814816" backgroundQuery="1" createdVersion="8" refreshedVersion="8" minRefreshableVersion="3" recordCount="0" supportSubquery="1" supportAdvancedDrill="1" xr:uid="{B913A320-7AC1-4D1B-B455-127435E7CB4A}">
  <cacheSource type="external" connectionId="2"/>
  <cacheFields count="3">
    <cacheField name="[Measures].[Sum of Amount]" caption="Sum of Amount" numFmtId="0" hierarchy="12" level="32767"/>
    <cacheField name="[Data].[Country].[Country]" caption="Country" numFmtId="0" hierarchy="4" level="1">
      <sharedItems count="8">
        <s v="Australia"/>
        <s v="Canada"/>
        <s v="EGY"/>
        <s v="France"/>
        <s v="Germany"/>
        <s v="New Zealand"/>
        <s v="UK"/>
        <s v="US"/>
      </sharedItems>
    </cacheField>
    <cacheField name="[Data].[Region].[Region]" caption="Region" numFmtId="0" hierarchy="5" level="1">
      <sharedItems containsSemiMixedTypes="0" containsNonDate="0" containsString="0"/>
    </cacheField>
  </cacheFields>
  <cacheHierarchies count="17">
    <cacheHierarchy uniqueName="[Data].[Order ID]" caption="Order ID" attribute="1" defaultMemberUniqueName="[Data].[Order ID].[All]" allUniqueName="[Data].[Order ID].[All]" dimensionUniqueName="[Data]" displayFolder="" count="0" memberValueDatatype="20" unbalanced="0"/>
    <cacheHierarchy uniqueName="[Data].[Date]" caption="Date" attribute="1" time="1" defaultMemberUniqueName="[Data].[Date].[All]" allUniqueName="[Data].[Date].[All]" dimensionUniqueName="[Data]" displayFolder="" count="0" memberValueDatatype="7" unbalanced="0"/>
    <cacheHierarchy uniqueName="[Data].[Product]" caption="Product" attribute="1" defaultMemberUniqueName="[Data].[Product].[All]" allUniqueName="[Data].[Product].[All]" dimensionUniqueName="[Data]" displayFolder="" count="0" memberValueDatatype="130" unbalanced="0"/>
    <cacheHierarchy uniqueName="[Data].[Category]" caption="Category" attribute="1" defaultMemberUniqueName="[Data].[Category].[All]" allUniqueName="[Data].[Category].[All]" dimensionUniqueName="[Data]" displayFolder="" count="2" memberValueDatatype="130" unbalanced="0"/>
    <cacheHierarchy uniqueName="[Data].[Country]" caption="Country" attribute="1" defaultMemberUniqueName="[Data].[Country].[All]" allUniqueName="[Data].[Country].[All]" dimensionUniqueName="[Data]" displayFolder="" count="2" memberValueDatatype="130" unbalanced="0">
      <fieldsUsage count="2">
        <fieldUsage x="-1"/>
        <fieldUsage x="1"/>
      </fieldsUsage>
    </cacheHierarchy>
    <cacheHierarchy uniqueName="[Data].[Region]" caption="Region" attribute="1" defaultMemberUniqueName="[Data].[Region].[All]" allUniqueName="[Data].[Region].[All]" dimensionUniqueName="[Data]" displayFolder="" count="2" memberValueDatatype="130" unbalanced="0">
      <fieldsUsage count="2">
        <fieldUsage x="-1"/>
        <fieldUsage x="2"/>
      </fieldsUsage>
    </cacheHierarchy>
    <cacheHierarchy uniqueName="[Data].[Month]" caption="Month" attribute="1" defaultMemberUniqueName="[Data].[Month].[All]" allUniqueName="[Data].[Month].[All]" dimensionUniqueName="[Data]" displayFolder="" count="0" memberValueDatatype="130" unbalanced="0"/>
    <cacheHierarchy uniqueName="[Data].[Year]" caption="Year" attribute="1" defaultMemberUniqueName="[Data].[Year].[All]" allUniqueName="[Data].[Year].[All]" dimensionUniqueName="[Data]" displayFolder="" count="2" memberValueDatatype="20" unbalanced="0"/>
    <cacheHierarchy uniqueName="[Data].[Quarter]" caption="Quarter" attribute="1" defaultMemberUniqueName="[Data].[Quarter].[All]" allUniqueName="[Data].[Quarter].[All]" dimensionUniqueName="[Data]" displayFolder="" count="2" memberValueDatatype="130" unbalanced="0"/>
    <cacheHierarchy uniqueName="[Data].[Amount]" caption="Amount" attribute="1" defaultMemberUniqueName="[Data].[Amount].[All]" allUniqueName="[Data].[Amount].[All]" dimensionUniqueName="[Data]" displayFolder="" count="0" memberValueDatatype="20" unbalanced="0"/>
    <cacheHierarchy uniqueName="[Measures].[__XL_Count Data]" caption="__XL_Count Data" measure="1" displayFolder="" measureGroup="Data" count="0" hidden="1"/>
    <cacheHierarchy uniqueName="[Measures].[__No measures defined]" caption="__No measures defined" measure="1" displayFolder="" count="0" hidden="1"/>
    <cacheHierarchy uniqueName="[Measures].[Sum of Amount]" caption="Sum of Amount" measure="1" displayFolder="" measureGroup="Data" count="0" oneField="1" hidden="1">
      <fieldsUsage count="1">
        <fieldUsage x="0"/>
      </fieldsUsage>
      <extLst>
        <ext xmlns:x15="http://schemas.microsoft.com/office/spreadsheetml/2010/11/main" uri="{B97F6D7D-B522-45F9-BDA1-12C45D357490}">
          <x15:cacheHierarchy aggregatedColumn="9"/>
        </ext>
      </extLst>
    </cacheHierarchy>
    <cacheHierarchy uniqueName="[Measures].[Count of Amount]" caption="Count of Amount" measure="1" displayFolder="" measureGroup="Data" count="0" hidden="1">
      <extLst>
        <ext xmlns:x15="http://schemas.microsoft.com/office/spreadsheetml/2010/11/main" uri="{B97F6D7D-B522-45F9-BDA1-12C45D357490}">
          <x15:cacheHierarchy aggregatedColumn="9"/>
        </ext>
      </extLst>
    </cacheHierarchy>
    <cacheHierarchy uniqueName="[Measures].[Average of Amount]" caption="Average of Amount" measure="1" displayFolder="" measureGroup="Data" count="0" hidden="1">
      <extLst>
        <ext xmlns:x15="http://schemas.microsoft.com/office/spreadsheetml/2010/11/main" uri="{B97F6D7D-B522-45F9-BDA1-12C45D357490}">
          <x15:cacheHierarchy aggregatedColumn="9"/>
        </ext>
      </extLst>
    </cacheHierarchy>
    <cacheHierarchy uniqueName="[Measures].[Sum of Order ID]" caption="Sum of Order ID" measure="1" displayFolder="" measureGroup="Data" count="0" hidden="1">
      <extLst>
        <ext xmlns:x15="http://schemas.microsoft.com/office/spreadsheetml/2010/11/main" uri="{B97F6D7D-B522-45F9-BDA1-12C45D357490}">
          <x15:cacheHierarchy aggregatedColumn="0"/>
        </ext>
      </extLst>
    </cacheHierarchy>
    <cacheHierarchy uniqueName="[Measures].[Count of Order ID]" caption="Count of Order ID" measure="1" displayFolder="" measureGroup="Data" count="0" hidden="1">
      <extLst>
        <ext xmlns:x15="http://schemas.microsoft.com/office/spreadsheetml/2010/11/main" uri="{B97F6D7D-B522-45F9-BDA1-12C45D357490}">
          <x15:cacheHierarchy aggregatedColumn="0"/>
        </ext>
      </extLst>
    </cacheHierarchy>
  </cacheHierarchies>
  <kpis count="0"/>
  <dimensions count="2">
    <dimension name="Data" uniqueName="[Data]" caption="Data"/>
    <dimension measure="1" name="Measures" uniqueName="[Measures]" caption="Measures"/>
  </dimensions>
  <measureGroups count="1">
    <measureGroup name="Data" caption="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med" refreshedDate="46043.806665509263" backgroundQuery="1" createdVersion="8" refreshedVersion="8" minRefreshableVersion="3" recordCount="0" supportSubquery="1" supportAdvancedDrill="1" xr:uid="{E40489E4-A414-4C2B-8957-154C5A77E7AE}">
  <cacheSource type="external" connectionId="2"/>
  <cacheFields count="3">
    <cacheField name="[Measures].[Sum of Amount]" caption="Sum of Amount" numFmtId="0" hierarchy="12" level="32767"/>
    <cacheField name="[Data].[Category].[Category]" caption="Category" numFmtId="0" hierarchy="3" level="1">
      <sharedItems count="2">
        <s v="Fruit"/>
        <s v="Vegetables"/>
      </sharedItems>
    </cacheField>
    <cacheField name="[Data].[Country].[Country]" caption="Country" numFmtId="0" hierarchy="4" level="1">
      <sharedItems count="8">
        <s v="Australia"/>
        <s v="Canada"/>
        <s v="EGY"/>
        <s v="France"/>
        <s v="Germany"/>
        <s v="New Zealand"/>
        <s v="UK"/>
        <s v="US"/>
      </sharedItems>
    </cacheField>
  </cacheFields>
  <cacheHierarchies count="17">
    <cacheHierarchy uniqueName="[Data].[Order ID]" caption="Order ID" attribute="1" defaultMemberUniqueName="[Data].[Order ID].[All]" allUniqueName="[Data].[Order ID].[All]" dimensionUniqueName="[Data]" displayFolder="" count="0" memberValueDatatype="20" unbalanced="0"/>
    <cacheHierarchy uniqueName="[Data].[Date]" caption="Date" attribute="1" time="1" defaultMemberUniqueName="[Data].[Date].[All]" allUniqueName="[Data].[Date].[All]" dimensionUniqueName="[Data]" displayFolder="" count="0" memberValueDatatype="7" unbalanced="0"/>
    <cacheHierarchy uniqueName="[Data].[Product]" caption="Product" attribute="1" defaultMemberUniqueName="[Data].[Product].[All]" allUniqueName="[Data].[Product].[All]" dimensionUniqueName="[Data]" displayFolder="" count="0" memberValueDatatype="130" unbalanced="0"/>
    <cacheHierarchy uniqueName="[Data].[Category]" caption="Category" attribute="1" defaultMemberUniqueName="[Data].[Category].[All]" allUniqueName="[Data].[Category].[All]" dimensionUniqueName="[Data]" displayFolder="" count="2" memberValueDatatype="130" unbalanced="0">
      <fieldsUsage count="2">
        <fieldUsage x="-1"/>
        <fieldUsage x="1"/>
      </fieldsUsage>
    </cacheHierarchy>
    <cacheHierarchy uniqueName="[Data].[Country]" caption="Country" attribute="1" defaultMemberUniqueName="[Data].[Country].[All]" allUniqueName="[Data].[Country].[All]" dimensionUniqueName="[Data]" displayFolder="" count="2" memberValueDatatype="130" unbalanced="0">
      <fieldsUsage count="2">
        <fieldUsage x="-1"/>
        <fieldUsage x="2"/>
      </fieldsUsage>
    </cacheHierarchy>
    <cacheHierarchy uniqueName="[Data].[Region]" caption="Region" attribute="1" defaultMemberUniqueName="[Data].[Region].[All]" allUniqueName="[Data].[Region].[All]" dimensionUniqueName="[Data]" displayFolder="" count="2" memberValueDatatype="130" unbalanced="0"/>
    <cacheHierarchy uniqueName="[Data].[Month]" caption="Month" attribute="1" defaultMemberUniqueName="[Data].[Month].[All]" allUniqueName="[Data].[Month].[All]" dimensionUniqueName="[Data]" displayFolder="" count="0" memberValueDatatype="130" unbalanced="0"/>
    <cacheHierarchy uniqueName="[Data].[Year]" caption="Year" attribute="1" defaultMemberUniqueName="[Data].[Year].[All]" allUniqueName="[Data].[Year].[All]" dimensionUniqueName="[Data]" displayFolder="" count="2" memberValueDatatype="20" unbalanced="0"/>
    <cacheHierarchy uniqueName="[Data].[Quarter]" caption="Quarter" attribute="1" defaultMemberUniqueName="[Data].[Quarter].[All]" allUniqueName="[Data].[Quarter].[All]" dimensionUniqueName="[Data]" displayFolder="" count="2" memberValueDatatype="130" unbalanced="0"/>
    <cacheHierarchy uniqueName="[Data].[Amount]" caption="Amount" attribute="1" defaultMemberUniqueName="[Data].[Amount].[All]" allUniqueName="[Data].[Amount].[All]" dimensionUniqueName="[Data]" displayFolder="" count="0" memberValueDatatype="20" unbalanced="0"/>
    <cacheHierarchy uniqueName="[Measures].[__XL_Count Data]" caption="__XL_Count Data" measure="1" displayFolder="" measureGroup="Data" count="0" hidden="1"/>
    <cacheHierarchy uniqueName="[Measures].[__No measures defined]" caption="__No measures defined" measure="1" displayFolder="" count="0" hidden="1"/>
    <cacheHierarchy uniqueName="[Measures].[Sum of Amount]" caption="Sum of Amount" measure="1" displayFolder="" measureGroup="Data" count="0" oneField="1" hidden="1">
      <fieldsUsage count="1">
        <fieldUsage x="0"/>
      </fieldsUsage>
      <extLst>
        <ext xmlns:x15="http://schemas.microsoft.com/office/spreadsheetml/2010/11/main" uri="{B97F6D7D-B522-45F9-BDA1-12C45D357490}">
          <x15:cacheHierarchy aggregatedColumn="9"/>
        </ext>
      </extLst>
    </cacheHierarchy>
    <cacheHierarchy uniqueName="[Measures].[Count of Amount]" caption="Count of Amount" measure="1" displayFolder="" measureGroup="Data" count="0" hidden="1">
      <extLst>
        <ext xmlns:x15="http://schemas.microsoft.com/office/spreadsheetml/2010/11/main" uri="{B97F6D7D-B522-45F9-BDA1-12C45D357490}">
          <x15:cacheHierarchy aggregatedColumn="9"/>
        </ext>
      </extLst>
    </cacheHierarchy>
    <cacheHierarchy uniqueName="[Measures].[Average of Amount]" caption="Average of Amount" measure="1" displayFolder="" measureGroup="Data" count="0" hidden="1">
      <extLst>
        <ext xmlns:x15="http://schemas.microsoft.com/office/spreadsheetml/2010/11/main" uri="{B97F6D7D-B522-45F9-BDA1-12C45D357490}">
          <x15:cacheHierarchy aggregatedColumn="9"/>
        </ext>
      </extLst>
    </cacheHierarchy>
    <cacheHierarchy uniqueName="[Measures].[Sum of Order ID]" caption="Sum of Order ID" measure="1" displayFolder="" measureGroup="Data" count="0" hidden="1">
      <extLst>
        <ext xmlns:x15="http://schemas.microsoft.com/office/spreadsheetml/2010/11/main" uri="{B97F6D7D-B522-45F9-BDA1-12C45D357490}">
          <x15:cacheHierarchy aggregatedColumn="0"/>
        </ext>
      </extLst>
    </cacheHierarchy>
    <cacheHierarchy uniqueName="[Measures].[Count of Order ID]" caption="Count of Order ID" measure="1" displayFolder="" measureGroup="Data" count="0" hidden="1">
      <extLst>
        <ext xmlns:x15="http://schemas.microsoft.com/office/spreadsheetml/2010/11/main" uri="{B97F6D7D-B522-45F9-BDA1-12C45D357490}">
          <x15:cacheHierarchy aggregatedColumn="0"/>
        </ext>
      </extLst>
    </cacheHierarchy>
  </cacheHierarchies>
  <kpis count="0"/>
  <dimensions count="2">
    <dimension name="Data" uniqueName="[Data]" caption="Data"/>
    <dimension measure="1" name="Measures" uniqueName="[Measures]" caption="Measures"/>
  </dimensions>
  <measureGroups count="1">
    <measureGroup name="Data" caption="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med" refreshedDate="46043.806666203702" backgroundQuery="1" createdVersion="8" refreshedVersion="8" minRefreshableVersion="3" recordCount="0" supportSubquery="1" supportAdvancedDrill="1" xr:uid="{0EE2A69C-0C1D-4A8C-8B7A-0EBED1683312}">
  <cacheSource type="external" connectionId="2"/>
  <cacheFields count="3">
    <cacheField name="[Data].[Region].[Region]" caption="Region" numFmtId="0" hierarchy="5" level="1">
      <sharedItems count="4">
        <s v="East"/>
        <s v="North"/>
        <s v="South"/>
        <s v="West"/>
      </sharedItems>
    </cacheField>
    <cacheField name="[Measures].[Sum of Amount]" caption="Sum of Amount" numFmtId="0" hierarchy="12" level="32767"/>
    <cacheField name="[Data].[Country].[Country]" caption="Country" numFmtId="0" hierarchy="4" level="1">
      <sharedItems containsSemiMixedTypes="0" containsNonDate="0" containsString="0"/>
    </cacheField>
  </cacheFields>
  <cacheHierarchies count="17">
    <cacheHierarchy uniqueName="[Data].[Order ID]" caption="Order ID" attribute="1" defaultMemberUniqueName="[Data].[Order ID].[All]" allUniqueName="[Data].[Order ID].[All]" dimensionUniqueName="[Data]" displayFolder="" count="0" memberValueDatatype="20" unbalanced="0"/>
    <cacheHierarchy uniqueName="[Data].[Date]" caption="Date" attribute="1" time="1" defaultMemberUniqueName="[Data].[Date].[All]" allUniqueName="[Data].[Date].[All]" dimensionUniqueName="[Data]" displayFolder="" count="0" memberValueDatatype="7" unbalanced="0"/>
    <cacheHierarchy uniqueName="[Data].[Product]" caption="Product" attribute="1" defaultMemberUniqueName="[Data].[Product].[All]" allUniqueName="[Data].[Product].[All]" dimensionUniqueName="[Data]" displayFolder="" count="0" memberValueDatatype="130" unbalanced="0"/>
    <cacheHierarchy uniqueName="[Data].[Category]" caption="Category" attribute="1" defaultMemberUniqueName="[Data].[Category].[All]" allUniqueName="[Data].[Category].[All]" dimensionUniqueName="[Data]" displayFolder="" count="2" memberValueDatatype="130" unbalanced="0"/>
    <cacheHierarchy uniqueName="[Data].[Country]" caption="Country" attribute="1" defaultMemberUniqueName="[Data].[Country].[All]" allUniqueName="[Data].[Country].[All]" dimensionUniqueName="[Data]" displayFolder="" count="2" memberValueDatatype="130" unbalanced="0">
      <fieldsUsage count="2">
        <fieldUsage x="-1"/>
        <fieldUsage x="2"/>
      </fieldsUsage>
    </cacheHierarchy>
    <cacheHierarchy uniqueName="[Data].[Region]" caption="Region" attribute="1" defaultMemberUniqueName="[Data].[Region].[All]" allUniqueName="[Data].[Region].[All]" dimensionUniqueName="[Data]" displayFolder="" count="2" memberValueDatatype="130" unbalanced="0">
      <fieldsUsage count="2">
        <fieldUsage x="-1"/>
        <fieldUsage x="0"/>
      </fieldsUsage>
    </cacheHierarchy>
    <cacheHierarchy uniqueName="[Data].[Month]" caption="Month" attribute="1" defaultMemberUniqueName="[Data].[Month].[All]" allUniqueName="[Data].[Month].[All]" dimensionUniqueName="[Data]" displayFolder="" count="0" memberValueDatatype="130" unbalanced="0"/>
    <cacheHierarchy uniqueName="[Data].[Year]" caption="Year" attribute="1" defaultMemberUniqueName="[Data].[Year].[All]" allUniqueName="[Data].[Year].[All]" dimensionUniqueName="[Data]" displayFolder="" count="2" memberValueDatatype="20" unbalanced="0"/>
    <cacheHierarchy uniqueName="[Data].[Quarter]" caption="Quarter" attribute="1" defaultMemberUniqueName="[Data].[Quarter].[All]" allUniqueName="[Data].[Quarter].[All]" dimensionUniqueName="[Data]" displayFolder="" count="2" memberValueDatatype="130" unbalanced="0"/>
    <cacheHierarchy uniqueName="[Data].[Amount]" caption="Amount" attribute="1" defaultMemberUniqueName="[Data].[Amount].[All]" allUniqueName="[Data].[Amount].[All]" dimensionUniqueName="[Data]" displayFolder="" count="0" memberValueDatatype="20" unbalanced="0"/>
    <cacheHierarchy uniqueName="[Measures].[__XL_Count Data]" caption="__XL_Count Data" measure="1" displayFolder="" measureGroup="Data" count="0" hidden="1"/>
    <cacheHierarchy uniqueName="[Measures].[__No measures defined]" caption="__No measures defined" measure="1" displayFolder="" count="0" hidden="1"/>
    <cacheHierarchy uniqueName="[Measures].[Sum of Amount]" caption="Sum of Amount" measure="1" displayFolder="" measureGroup="Data" count="0" oneField="1" hidden="1">
      <fieldsUsage count="1">
        <fieldUsage x="1"/>
      </fieldsUsage>
      <extLst>
        <ext xmlns:x15="http://schemas.microsoft.com/office/spreadsheetml/2010/11/main" uri="{B97F6D7D-B522-45F9-BDA1-12C45D357490}">
          <x15:cacheHierarchy aggregatedColumn="9"/>
        </ext>
      </extLst>
    </cacheHierarchy>
    <cacheHierarchy uniqueName="[Measures].[Count of Amount]" caption="Count of Amount" measure="1" displayFolder="" measureGroup="Data" count="0" hidden="1">
      <extLst>
        <ext xmlns:x15="http://schemas.microsoft.com/office/spreadsheetml/2010/11/main" uri="{B97F6D7D-B522-45F9-BDA1-12C45D357490}">
          <x15:cacheHierarchy aggregatedColumn="9"/>
        </ext>
      </extLst>
    </cacheHierarchy>
    <cacheHierarchy uniqueName="[Measures].[Average of Amount]" caption="Average of Amount" measure="1" displayFolder="" measureGroup="Data" count="0" hidden="1">
      <extLst>
        <ext xmlns:x15="http://schemas.microsoft.com/office/spreadsheetml/2010/11/main" uri="{B97F6D7D-B522-45F9-BDA1-12C45D357490}">
          <x15:cacheHierarchy aggregatedColumn="9"/>
        </ext>
      </extLst>
    </cacheHierarchy>
    <cacheHierarchy uniqueName="[Measures].[Sum of Order ID]" caption="Sum of Order ID" measure="1" displayFolder="" measureGroup="Data" count="0" hidden="1">
      <extLst>
        <ext xmlns:x15="http://schemas.microsoft.com/office/spreadsheetml/2010/11/main" uri="{B97F6D7D-B522-45F9-BDA1-12C45D357490}">
          <x15:cacheHierarchy aggregatedColumn="0"/>
        </ext>
      </extLst>
    </cacheHierarchy>
    <cacheHierarchy uniqueName="[Measures].[Count of Order ID]" caption="Count of Order ID" measure="1" displayFolder="" measureGroup="Data" count="0" hidden="1">
      <extLst>
        <ext xmlns:x15="http://schemas.microsoft.com/office/spreadsheetml/2010/11/main" uri="{B97F6D7D-B522-45F9-BDA1-12C45D357490}">
          <x15:cacheHierarchy aggregatedColumn="0"/>
        </ext>
      </extLst>
    </cacheHierarchy>
  </cacheHierarchies>
  <kpis count="0"/>
  <dimensions count="2">
    <dimension name="Data" uniqueName="[Data]" caption="Data"/>
    <dimension measure="1" name="Measures" uniqueName="[Measures]" caption="Measures"/>
  </dimensions>
  <measureGroups count="1">
    <measureGroup name="Data" caption="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med" refreshedDate="46043.80666678241" backgroundQuery="1" createdVersion="8" refreshedVersion="8" minRefreshableVersion="3" recordCount="0" supportSubquery="1" supportAdvancedDrill="1" xr:uid="{EA96BC96-11FE-409C-8A69-155AABB0DCF2}">
  <cacheSource type="external" connectionId="2"/>
  <cacheFields count="3">
    <cacheField name="[Measures].[Sum of Amount]" caption="Sum of Amount" numFmtId="0" hierarchy="12" level="32767"/>
    <cacheField name="[Data].[Month].[Month]" caption="Month" numFmtId="0" hierarchy="6" level="1">
      <sharedItems count="13">
        <s v="April"/>
        <s v="August"/>
        <s v="December"/>
        <s v="February"/>
        <s v="January"/>
        <s v="July"/>
        <s v="June"/>
        <s v="March"/>
        <s v="May"/>
        <s v="November"/>
        <s v="October"/>
        <s v="Sept ember"/>
        <s v="September"/>
      </sharedItems>
    </cacheField>
    <cacheField name="[Data].[Country].[Country]" caption="Country" numFmtId="0" hierarchy="4" level="1">
      <sharedItems containsSemiMixedTypes="0" containsNonDate="0" containsString="0"/>
    </cacheField>
  </cacheFields>
  <cacheHierarchies count="17">
    <cacheHierarchy uniqueName="[Data].[Order ID]" caption="Order ID" attribute="1" defaultMemberUniqueName="[Data].[Order ID].[All]" allUniqueName="[Data].[Order ID].[All]" dimensionUniqueName="[Data]" displayFolder="" count="0" memberValueDatatype="20" unbalanced="0"/>
    <cacheHierarchy uniqueName="[Data].[Date]" caption="Date" attribute="1" time="1" defaultMemberUniqueName="[Data].[Date].[All]" allUniqueName="[Data].[Date].[All]" dimensionUniqueName="[Data]" displayFolder="" count="0" memberValueDatatype="7" unbalanced="0"/>
    <cacheHierarchy uniqueName="[Data].[Product]" caption="Product" attribute="1" defaultMemberUniqueName="[Data].[Product].[All]" allUniqueName="[Data].[Product].[All]" dimensionUniqueName="[Data]" displayFolder="" count="0" memberValueDatatype="130" unbalanced="0"/>
    <cacheHierarchy uniqueName="[Data].[Category]" caption="Category" attribute="1" defaultMemberUniqueName="[Data].[Category].[All]" allUniqueName="[Data].[Category].[All]" dimensionUniqueName="[Data]" displayFolder="" count="2" memberValueDatatype="130" unbalanced="0"/>
    <cacheHierarchy uniqueName="[Data].[Country]" caption="Country" attribute="1" defaultMemberUniqueName="[Data].[Country].[All]" allUniqueName="[Data].[Country].[All]" dimensionUniqueName="[Data]" displayFolder="" count="2" memberValueDatatype="130" unbalanced="0">
      <fieldsUsage count="2">
        <fieldUsage x="-1"/>
        <fieldUsage x="2"/>
      </fieldsUsage>
    </cacheHierarchy>
    <cacheHierarchy uniqueName="[Data].[Region]" caption="Region" attribute="1" defaultMemberUniqueName="[Data].[Region].[All]" allUniqueName="[Data].[Region].[All]" dimensionUniqueName="[Data]" displayFolder="" count="2" memberValueDatatype="130" unbalanced="0"/>
    <cacheHierarchy uniqueName="[Data].[Month]" caption="Month" attribute="1" defaultMemberUniqueName="[Data].[Month].[All]" allUniqueName="[Data].[Month].[All]" dimensionUniqueName="[Data]" displayFolder="" count="2" memberValueDatatype="130" unbalanced="0">
      <fieldsUsage count="2">
        <fieldUsage x="-1"/>
        <fieldUsage x="1"/>
      </fieldsUsage>
    </cacheHierarchy>
    <cacheHierarchy uniqueName="[Data].[Year]" caption="Year" attribute="1" defaultMemberUniqueName="[Data].[Year].[All]" allUniqueName="[Data].[Year].[All]" dimensionUniqueName="[Data]" displayFolder="" count="2" memberValueDatatype="20" unbalanced="0"/>
    <cacheHierarchy uniqueName="[Data].[Quarter]" caption="Quarter" attribute="1" defaultMemberUniqueName="[Data].[Quarter].[All]" allUniqueName="[Data].[Quarter].[All]" dimensionUniqueName="[Data]" displayFolder="" count="2" memberValueDatatype="130" unbalanced="0"/>
    <cacheHierarchy uniqueName="[Data].[Amount]" caption="Amount" attribute="1" defaultMemberUniqueName="[Data].[Amount].[All]" allUniqueName="[Data].[Amount].[All]" dimensionUniqueName="[Data]" displayFolder="" count="0" memberValueDatatype="20" unbalanced="0"/>
    <cacheHierarchy uniqueName="[Measures].[__XL_Count Data]" caption="__XL_Count Data" measure="1" displayFolder="" measureGroup="Data" count="0" hidden="1"/>
    <cacheHierarchy uniqueName="[Measures].[__No measures defined]" caption="__No measures defined" measure="1" displayFolder="" count="0" hidden="1"/>
    <cacheHierarchy uniqueName="[Measures].[Sum of Amount]" caption="Sum of Amount" measure="1" displayFolder="" measureGroup="Data" count="0" oneField="1" hidden="1">
      <fieldsUsage count="1">
        <fieldUsage x="0"/>
      </fieldsUsage>
      <extLst>
        <ext xmlns:x15="http://schemas.microsoft.com/office/spreadsheetml/2010/11/main" uri="{B97F6D7D-B522-45F9-BDA1-12C45D357490}">
          <x15:cacheHierarchy aggregatedColumn="9"/>
        </ext>
      </extLst>
    </cacheHierarchy>
    <cacheHierarchy uniqueName="[Measures].[Count of Amount]" caption="Count of Amount" measure="1" displayFolder="" measureGroup="Data" count="0" hidden="1">
      <extLst>
        <ext xmlns:x15="http://schemas.microsoft.com/office/spreadsheetml/2010/11/main" uri="{B97F6D7D-B522-45F9-BDA1-12C45D357490}">
          <x15:cacheHierarchy aggregatedColumn="9"/>
        </ext>
      </extLst>
    </cacheHierarchy>
    <cacheHierarchy uniqueName="[Measures].[Average of Amount]" caption="Average of Amount" measure="1" displayFolder="" measureGroup="Data" count="0" hidden="1">
      <extLst>
        <ext xmlns:x15="http://schemas.microsoft.com/office/spreadsheetml/2010/11/main" uri="{B97F6D7D-B522-45F9-BDA1-12C45D357490}">
          <x15:cacheHierarchy aggregatedColumn="9"/>
        </ext>
      </extLst>
    </cacheHierarchy>
    <cacheHierarchy uniqueName="[Measures].[Sum of Order ID]" caption="Sum of Order ID" measure="1" displayFolder="" measureGroup="Data" count="0" hidden="1">
      <extLst>
        <ext xmlns:x15="http://schemas.microsoft.com/office/spreadsheetml/2010/11/main" uri="{B97F6D7D-B522-45F9-BDA1-12C45D357490}">
          <x15:cacheHierarchy aggregatedColumn="0"/>
        </ext>
      </extLst>
    </cacheHierarchy>
    <cacheHierarchy uniqueName="[Measures].[Count of Order ID]" caption="Count of Order ID" measure="1" displayFolder="" measureGroup="Data" count="0" hidden="1">
      <extLst>
        <ext xmlns:x15="http://schemas.microsoft.com/office/spreadsheetml/2010/11/main" uri="{B97F6D7D-B522-45F9-BDA1-12C45D357490}">
          <x15:cacheHierarchy aggregatedColumn="0"/>
        </ext>
      </extLst>
    </cacheHierarchy>
  </cacheHierarchies>
  <kpis count="0"/>
  <dimensions count="2">
    <dimension name="Data" uniqueName="[Data]" caption="Data"/>
    <dimension measure="1" name="Measures" uniqueName="[Measures]" caption="Measures"/>
  </dimensions>
  <measureGroups count="1">
    <measureGroup name="Data" caption="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med" refreshedDate="46040.812371064814" backgroundQuery="1" createdVersion="3" refreshedVersion="8" minRefreshableVersion="3" recordCount="0" supportSubquery="1" supportAdvancedDrill="1" xr:uid="{A2D8F42F-125C-458D-B554-671EB8C24C34}">
  <cacheSource type="external" connectionId="2">
    <extLst>
      <ext xmlns:x14="http://schemas.microsoft.com/office/spreadsheetml/2009/9/main" uri="{F057638F-6D5F-4e77-A914-E7F072B9BCA8}">
        <x14:sourceConnection name="ThisWorkbookDataModel"/>
      </ext>
    </extLst>
  </cacheSource>
  <cacheFields count="0"/>
  <cacheHierarchies count="17">
    <cacheHierarchy uniqueName="[Data].[Order ID]" caption="Order ID" attribute="1" defaultMemberUniqueName="[Data].[Order ID].[All]" allUniqueName="[Data].[Order ID].[All]" dimensionUniqueName="[Data]" displayFolder="" count="0" memberValueDatatype="20" unbalanced="0"/>
    <cacheHierarchy uniqueName="[Data].[Date]" caption="Date" attribute="1" time="1" defaultMemberUniqueName="[Data].[Date].[All]" allUniqueName="[Data].[Date].[All]" dimensionUniqueName="[Data]" displayFolder="" count="0" memberValueDatatype="7" unbalanced="0"/>
    <cacheHierarchy uniqueName="[Data].[Product]" caption="Product" attribute="1" defaultMemberUniqueName="[Data].[Product].[All]" allUniqueName="[Data].[Product].[All]" dimensionUniqueName="[Data]" displayFolder="" count="0" memberValueDatatype="130" unbalanced="0"/>
    <cacheHierarchy uniqueName="[Data].[Category]" caption="Category" attribute="1" defaultMemberUniqueName="[Data].[Category].[All]" allUniqueName="[Data].[Category].[All]" dimensionUniqueName="[Data]" displayFolder="" count="2" memberValueDatatype="130" unbalanced="0"/>
    <cacheHierarchy uniqueName="[Data].[Country]" caption="Country" attribute="1" defaultMemberUniqueName="[Data].[Country].[All]" allUniqueName="[Data].[Country].[All]" dimensionUniqueName="[Data]" displayFolder="" count="2" memberValueDatatype="130" unbalanced="0"/>
    <cacheHierarchy uniqueName="[Data].[Region]" caption="Region" attribute="1" defaultMemberUniqueName="[Data].[Region].[All]" allUniqueName="[Data].[Region].[All]" dimensionUniqueName="[Data]" displayFolder="" count="2" memberValueDatatype="130" unbalanced="0"/>
    <cacheHierarchy uniqueName="[Data].[Month]" caption="Month" attribute="1" defaultMemberUniqueName="[Data].[Month].[All]" allUniqueName="[Data].[Month].[All]" dimensionUniqueName="[Data]" displayFolder="" count="0" memberValueDatatype="130" unbalanced="0"/>
    <cacheHierarchy uniqueName="[Data].[Year]" caption="Year" attribute="1" defaultMemberUniqueName="[Data].[Year].[All]" allUniqueName="[Data].[Year].[All]" dimensionUniqueName="[Data]" displayFolder="" count="2" memberValueDatatype="20" unbalanced="0"/>
    <cacheHierarchy uniqueName="[Data].[Quarter]" caption="Quarter" attribute="1" defaultMemberUniqueName="[Data].[Quarter].[All]" allUniqueName="[Data].[Quarter].[All]" dimensionUniqueName="[Data]" displayFolder="" count="2" memberValueDatatype="130" unbalanced="0"/>
    <cacheHierarchy uniqueName="[Data].[Amount]" caption="Amount" attribute="1" defaultMemberUniqueName="[Data].[Amount].[All]" allUniqueName="[Data].[Amount].[All]" dimensionUniqueName="[Data]" displayFolder="" count="0" memberValueDatatype="20" unbalanced="0"/>
    <cacheHierarchy uniqueName="[Measures].[__XL_Count Data]" caption="__XL_Count Data" measure="1" displayFolder="" measureGroup="Data" count="0" hidden="1"/>
    <cacheHierarchy uniqueName="[Measures].[__No measures defined]" caption="__No measures defined" measure="1" displayFolder="" count="0" hidden="1"/>
    <cacheHierarchy uniqueName="[Measures].[Sum of Amount]" caption="Sum of Amount" measure="1" displayFolder="" measureGroup="Data" count="0" hidden="1">
      <extLst>
        <ext xmlns:x15="http://schemas.microsoft.com/office/spreadsheetml/2010/11/main" uri="{B97F6D7D-B522-45F9-BDA1-12C45D357490}">
          <x15:cacheHierarchy aggregatedColumn="9"/>
        </ext>
      </extLst>
    </cacheHierarchy>
    <cacheHierarchy uniqueName="[Measures].[Count of Amount]" caption="Count of Amount" measure="1" displayFolder="" measureGroup="Data" count="0" hidden="1">
      <extLst>
        <ext xmlns:x15="http://schemas.microsoft.com/office/spreadsheetml/2010/11/main" uri="{B97F6D7D-B522-45F9-BDA1-12C45D357490}">
          <x15:cacheHierarchy aggregatedColumn="9"/>
        </ext>
      </extLst>
    </cacheHierarchy>
    <cacheHierarchy uniqueName="[Measures].[Average of Amount]" caption="Average of Amount" measure="1" displayFolder="" measureGroup="Data" count="0" hidden="1">
      <extLst>
        <ext xmlns:x15="http://schemas.microsoft.com/office/spreadsheetml/2010/11/main" uri="{B97F6D7D-B522-45F9-BDA1-12C45D357490}">
          <x15:cacheHierarchy aggregatedColumn="9"/>
        </ext>
      </extLst>
    </cacheHierarchy>
    <cacheHierarchy uniqueName="[Measures].[Sum of Order ID]" caption="Sum of Order ID" measure="1" displayFolder="" measureGroup="Data" count="0" hidden="1">
      <extLst>
        <ext xmlns:x15="http://schemas.microsoft.com/office/spreadsheetml/2010/11/main" uri="{B97F6D7D-B522-45F9-BDA1-12C45D357490}">
          <x15:cacheHierarchy aggregatedColumn="0"/>
        </ext>
      </extLst>
    </cacheHierarchy>
    <cacheHierarchy uniqueName="[Measures].[Count of Order ID]" caption="Count of Order ID" measure="1" displayFolder="" measureGroup="Data" count="0" hidden="1">
      <extLst>
        <ext xmlns:x15="http://schemas.microsoft.com/office/spreadsheetml/2010/11/main" uri="{B97F6D7D-B522-45F9-BDA1-12C45D357490}">
          <x15:cacheHierarchy aggregatedColumn="0"/>
        </ext>
      </extLst>
    </cacheHierarchy>
  </cacheHierarchies>
  <kpis count="0"/>
  <extLst>
    <ext xmlns:x14="http://schemas.microsoft.com/office/spreadsheetml/2009/9/main" uri="{725AE2AE-9491-48be-B2B4-4EB974FC3084}">
      <x14:pivotCacheDefinition slicerData="1" pivotCacheId="151956618"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4">
  <r>
    <x v="0"/>
    <x v="0"/>
    <x v="0"/>
    <x v="0"/>
    <x v="0"/>
    <x v="0"/>
    <x v="0"/>
    <x v="0"/>
    <x v="0"/>
    <n v="4270"/>
  </r>
  <r>
    <x v="1"/>
    <x v="1"/>
    <x v="1"/>
    <x v="0"/>
    <x v="1"/>
    <x v="1"/>
    <x v="0"/>
    <x v="0"/>
    <x v="0"/>
    <n v="8239"/>
  </r>
  <r>
    <x v="2"/>
    <x v="2"/>
    <x v="2"/>
    <x v="1"/>
    <x v="0"/>
    <x v="1"/>
    <x v="0"/>
    <x v="0"/>
    <x v="0"/>
    <n v="617"/>
  </r>
  <r>
    <x v="3"/>
    <x v="3"/>
    <x v="2"/>
    <x v="1"/>
    <x v="2"/>
    <x v="2"/>
    <x v="1"/>
    <x v="0"/>
    <x v="0"/>
    <n v="8384"/>
  </r>
  <r>
    <x v="4"/>
    <x v="4"/>
    <x v="3"/>
    <x v="0"/>
    <x v="3"/>
    <x v="3"/>
    <x v="1"/>
    <x v="0"/>
    <x v="0"/>
    <n v="2626"/>
  </r>
  <r>
    <x v="5"/>
    <x v="5"/>
    <x v="4"/>
    <x v="1"/>
    <x v="0"/>
    <x v="0"/>
    <x v="1"/>
    <x v="0"/>
    <x v="0"/>
    <n v="3610"/>
  </r>
  <r>
    <x v="6"/>
    <x v="6"/>
    <x v="1"/>
    <x v="0"/>
    <x v="4"/>
    <x v="0"/>
    <x v="1"/>
    <x v="0"/>
    <x v="0"/>
    <n v="9062"/>
  </r>
  <r>
    <x v="7"/>
    <x v="7"/>
    <x v="2"/>
    <x v="1"/>
    <x v="5"/>
    <x v="1"/>
    <x v="2"/>
    <x v="0"/>
    <x v="0"/>
    <n v="6906"/>
  </r>
  <r>
    <x v="8"/>
    <x v="8"/>
    <x v="5"/>
    <x v="1"/>
    <x v="6"/>
    <x v="3"/>
    <x v="2"/>
    <x v="0"/>
    <x v="0"/>
    <n v="2417"/>
  </r>
  <r>
    <x v="9"/>
    <x v="9"/>
    <x v="5"/>
    <x v="1"/>
    <x v="2"/>
    <x v="0"/>
    <x v="3"/>
    <x v="0"/>
    <x v="1"/>
    <n v="7431"/>
  </r>
  <r>
    <x v="10"/>
    <x v="10"/>
    <x v="2"/>
    <x v="1"/>
    <x v="3"/>
    <x v="1"/>
    <x v="3"/>
    <x v="0"/>
    <x v="1"/>
    <n v="8250"/>
  </r>
  <r>
    <x v="11"/>
    <x v="11"/>
    <x v="1"/>
    <x v="0"/>
    <x v="0"/>
    <x v="0"/>
    <x v="4"/>
    <x v="0"/>
    <x v="1"/>
    <n v="7012"/>
  </r>
  <r>
    <x v="12"/>
    <x v="12"/>
    <x v="0"/>
    <x v="0"/>
    <x v="3"/>
    <x v="1"/>
    <x v="4"/>
    <x v="0"/>
    <x v="1"/>
    <n v="1903"/>
  </r>
  <r>
    <x v="13"/>
    <x v="13"/>
    <x v="1"/>
    <x v="0"/>
    <x v="2"/>
    <x v="3"/>
    <x v="4"/>
    <x v="0"/>
    <x v="1"/>
    <n v="2824"/>
  </r>
  <r>
    <x v="14"/>
    <x v="14"/>
    <x v="5"/>
    <x v="1"/>
    <x v="6"/>
    <x v="0"/>
    <x v="4"/>
    <x v="0"/>
    <x v="1"/>
    <n v="6946"/>
  </r>
  <r>
    <x v="15"/>
    <x v="15"/>
    <x v="2"/>
    <x v="1"/>
    <x v="1"/>
    <x v="2"/>
    <x v="4"/>
    <x v="0"/>
    <x v="1"/>
    <n v="2320"/>
  </r>
  <r>
    <x v="16"/>
    <x v="16"/>
    <x v="2"/>
    <x v="1"/>
    <x v="0"/>
    <x v="2"/>
    <x v="5"/>
    <x v="0"/>
    <x v="1"/>
    <n v="2116"/>
  </r>
  <r>
    <x v="17"/>
    <x v="17"/>
    <x v="2"/>
    <x v="1"/>
    <x v="1"/>
    <x v="2"/>
    <x v="5"/>
    <x v="0"/>
    <x v="1"/>
    <n v="1135"/>
  </r>
  <r>
    <x v="18"/>
    <x v="18"/>
    <x v="1"/>
    <x v="0"/>
    <x v="1"/>
    <x v="1"/>
    <x v="5"/>
    <x v="0"/>
    <x v="1"/>
    <n v="3595"/>
  </r>
  <r>
    <x v="19"/>
    <x v="19"/>
    <x v="5"/>
    <x v="1"/>
    <x v="0"/>
    <x v="0"/>
    <x v="6"/>
    <x v="1"/>
    <x v="2"/>
    <n v="1161"/>
  </r>
  <r>
    <x v="20"/>
    <x v="20"/>
    <x v="4"/>
    <x v="1"/>
    <x v="6"/>
    <x v="2"/>
    <x v="6"/>
    <x v="1"/>
    <x v="2"/>
    <n v="2256"/>
  </r>
  <r>
    <x v="21"/>
    <x v="21"/>
    <x v="2"/>
    <x v="1"/>
    <x v="5"/>
    <x v="0"/>
    <x v="6"/>
    <x v="1"/>
    <x v="2"/>
    <n v="1004"/>
  </r>
  <r>
    <x v="22"/>
    <x v="22"/>
    <x v="2"/>
    <x v="1"/>
    <x v="2"/>
    <x v="1"/>
    <x v="6"/>
    <x v="1"/>
    <x v="2"/>
    <n v="3642"/>
  </r>
  <r>
    <x v="23"/>
    <x v="23"/>
    <x v="2"/>
    <x v="1"/>
    <x v="0"/>
    <x v="0"/>
    <x v="6"/>
    <x v="1"/>
    <x v="2"/>
    <n v="4582"/>
  </r>
  <r>
    <x v="24"/>
    <x v="23"/>
    <x v="3"/>
    <x v="0"/>
    <x v="1"/>
    <x v="1"/>
    <x v="6"/>
    <x v="1"/>
    <x v="2"/>
    <n v="3559"/>
  </r>
  <r>
    <x v="25"/>
    <x v="23"/>
    <x v="0"/>
    <x v="0"/>
    <x v="4"/>
    <x v="0"/>
    <x v="6"/>
    <x v="1"/>
    <x v="2"/>
    <n v="5154"/>
  </r>
  <r>
    <x v="26"/>
    <x v="24"/>
    <x v="6"/>
    <x v="1"/>
    <x v="6"/>
    <x v="0"/>
    <x v="6"/>
    <x v="1"/>
    <x v="2"/>
    <n v="7388"/>
  </r>
  <r>
    <x v="27"/>
    <x v="25"/>
    <x v="3"/>
    <x v="0"/>
    <x v="0"/>
    <x v="2"/>
    <x v="6"/>
    <x v="1"/>
    <x v="2"/>
    <n v="7163"/>
  </r>
  <r>
    <x v="28"/>
    <x v="25"/>
    <x v="3"/>
    <x v="0"/>
    <x v="3"/>
    <x v="0"/>
    <x v="6"/>
    <x v="1"/>
    <x v="2"/>
    <n v="5101"/>
  </r>
  <r>
    <x v="29"/>
    <x v="26"/>
    <x v="5"/>
    <x v="1"/>
    <x v="6"/>
    <x v="1"/>
    <x v="6"/>
    <x v="1"/>
    <x v="2"/>
    <n v="7602"/>
  </r>
  <r>
    <x v="30"/>
    <x v="26"/>
    <x v="6"/>
    <x v="1"/>
    <x v="0"/>
    <x v="0"/>
    <x v="6"/>
    <x v="1"/>
    <x v="2"/>
    <n v="1641"/>
  </r>
  <r>
    <x v="31"/>
    <x v="27"/>
    <x v="5"/>
    <x v="1"/>
    <x v="4"/>
    <x v="3"/>
    <x v="6"/>
    <x v="1"/>
    <x v="2"/>
    <n v="8892"/>
  </r>
  <r>
    <x v="32"/>
    <x v="27"/>
    <x v="5"/>
    <x v="1"/>
    <x v="6"/>
    <x v="3"/>
    <x v="6"/>
    <x v="1"/>
    <x v="2"/>
    <n v="2060"/>
  </r>
  <r>
    <x v="33"/>
    <x v="28"/>
    <x v="1"/>
    <x v="0"/>
    <x v="3"/>
    <x v="0"/>
    <x v="6"/>
    <x v="1"/>
    <x v="2"/>
    <n v="1557"/>
  </r>
  <r>
    <x v="34"/>
    <x v="28"/>
    <x v="5"/>
    <x v="1"/>
    <x v="6"/>
    <x v="1"/>
    <x v="6"/>
    <x v="1"/>
    <x v="2"/>
    <n v="6509"/>
  </r>
  <r>
    <x v="35"/>
    <x v="29"/>
    <x v="5"/>
    <x v="1"/>
    <x v="4"/>
    <x v="2"/>
    <x v="6"/>
    <x v="1"/>
    <x v="2"/>
    <n v="5718"/>
  </r>
  <r>
    <x v="36"/>
    <x v="29"/>
    <x v="5"/>
    <x v="1"/>
    <x v="0"/>
    <x v="2"/>
    <x v="6"/>
    <x v="1"/>
    <x v="2"/>
    <n v="7655"/>
  </r>
  <r>
    <x v="37"/>
    <x v="29"/>
    <x v="0"/>
    <x v="0"/>
    <x v="1"/>
    <x v="2"/>
    <x v="6"/>
    <x v="1"/>
    <x v="2"/>
    <n v="9116"/>
  </r>
  <r>
    <x v="38"/>
    <x v="29"/>
    <x v="2"/>
    <x v="1"/>
    <x v="0"/>
    <x v="0"/>
    <x v="6"/>
    <x v="1"/>
    <x v="2"/>
    <n v="2795"/>
  </r>
  <r>
    <x v="39"/>
    <x v="30"/>
    <x v="2"/>
    <x v="1"/>
    <x v="0"/>
    <x v="1"/>
    <x v="6"/>
    <x v="1"/>
    <x v="2"/>
    <n v="5084"/>
  </r>
  <r>
    <x v="40"/>
    <x v="31"/>
    <x v="0"/>
    <x v="0"/>
    <x v="1"/>
    <x v="3"/>
    <x v="6"/>
    <x v="1"/>
    <x v="2"/>
    <n v="8941"/>
  </r>
  <r>
    <x v="41"/>
    <x v="32"/>
    <x v="1"/>
    <x v="0"/>
    <x v="6"/>
    <x v="0"/>
    <x v="6"/>
    <x v="1"/>
    <x v="2"/>
    <n v="5341"/>
  </r>
  <r>
    <x v="42"/>
    <x v="33"/>
    <x v="2"/>
    <x v="1"/>
    <x v="2"/>
    <x v="2"/>
    <x v="6"/>
    <x v="1"/>
    <x v="2"/>
    <n v="135"/>
  </r>
  <r>
    <x v="43"/>
    <x v="33"/>
    <x v="2"/>
    <x v="1"/>
    <x v="4"/>
    <x v="0"/>
    <x v="6"/>
    <x v="1"/>
    <x v="2"/>
    <n v="9400"/>
  </r>
  <r>
    <x v="44"/>
    <x v="34"/>
    <x v="3"/>
    <x v="0"/>
    <x v="3"/>
    <x v="1"/>
    <x v="6"/>
    <x v="1"/>
    <x v="2"/>
    <n v="6045"/>
  </r>
  <r>
    <x v="45"/>
    <x v="35"/>
    <x v="5"/>
    <x v="1"/>
    <x v="5"/>
    <x v="3"/>
    <x v="7"/>
    <x v="1"/>
    <x v="2"/>
    <n v="5820"/>
  </r>
  <r>
    <x v="46"/>
    <x v="36"/>
    <x v="4"/>
    <x v="1"/>
    <x v="3"/>
    <x v="0"/>
    <x v="7"/>
    <x v="1"/>
    <x v="2"/>
    <n v="8887"/>
  </r>
  <r>
    <x v="47"/>
    <x v="37"/>
    <x v="4"/>
    <x v="1"/>
    <x v="0"/>
    <x v="1"/>
    <x v="7"/>
    <x v="1"/>
    <x v="2"/>
    <n v="6982"/>
  </r>
  <r>
    <x v="48"/>
    <x v="38"/>
    <x v="2"/>
    <x v="1"/>
    <x v="4"/>
    <x v="0"/>
    <x v="7"/>
    <x v="1"/>
    <x v="2"/>
    <n v="4029"/>
  </r>
  <r>
    <x v="49"/>
    <x v="38"/>
    <x v="0"/>
    <x v="0"/>
    <x v="3"/>
    <x v="3"/>
    <x v="7"/>
    <x v="1"/>
    <x v="2"/>
    <n v="3665"/>
  </r>
  <r>
    <x v="50"/>
    <x v="39"/>
    <x v="2"/>
    <x v="1"/>
    <x v="6"/>
    <x v="0"/>
    <x v="7"/>
    <x v="1"/>
    <x v="2"/>
    <n v="4781"/>
  </r>
  <r>
    <x v="51"/>
    <x v="40"/>
    <x v="6"/>
    <x v="1"/>
    <x v="4"/>
    <x v="2"/>
    <x v="7"/>
    <x v="1"/>
    <x v="2"/>
    <n v="3663"/>
  </r>
  <r>
    <x v="52"/>
    <x v="41"/>
    <x v="5"/>
    <x v="1"/>
    <x v="6"/>
    <x v="1"/>
    <x v="7"/>
    <x v="1"/>
    <x v="2"/>
    <n v="6331"/>
  </r>
  <r>
    <x v="53"/>
    <x v="42"/>
    <x v="5"/>
    <x v="1"/>
    <x v="2"/>
    <x v="0"/>
    <x v="7"/>
    <x v="1"/>
    <x v="2"/>
    <n v="4364"/>
  </r>
  <r>
    <x v="54"/>
    <x v="43"/>
    <x v="0"/>
    <x v="0"/>
    <x v="1"/>
    <x v="0"/>
    <x v="7"/>
    <x v="1"/>
    <x v="2"/>
    <n v="607"/>
  </r>
  <r>
    <x v="55"/>
    <x v="44"/>
    <x v="2"/>
    <x v="1"/>
    <x v="5"/>
    <x v="1"/>
    <x v="7"/>
    <x v="1"/>
    <x v="2"/>
    <n v="1054"/>
  </r>
  <r>
    <x v="56"/>
    <x v="45"/>
    <x v="0"/>
    <x v="0"/>
    <x v="0"/>
    <x v="0"/>
    <x v="7"/>
    <x v="1"/>
    <x v="2"/>
    <n v="7659"/>
  </r>
  <r>
    <x v="57"/>
    <x v="45"/>
    <x v="1"/>
    <x v="0"/>
    <x v="3"/>
    <x v="1"/>
    <x v="7"/>
    <x v="1"/>
    <x v="2"/>
    <n v="277"/>
  </r>
  <r>
    <x v="58"/>
    <x v="46"/>
    <x v="2"/>
    <x v="1"/>
    <x v="0"/>
    <x v="2"/>
    <x v="7"/>
    <x v="1"/>
    <x v="2"/>
    <n v="235"/>
  </r>
  <r>
    <x v="59"/>
    <x v="46"/>
    <x v="4"/>
    <x v="1"/>
    <x v="4"/>
    <x v="0"/>
    <x v="7"/>
    <x v="1"/>
    <x v="2"/>
    <n v="1113"/>
  </r>
  <r>
    <x v="60"/>
    <x v="47"/>
    <x v="5"/>
    <x v="1"/>
    <x v="0"/>
    <x v="1"/>
    <x v="7"/>
    <x v="1"/>
    <x v="2"/>
    <n v="1128"/>
  </r>
  <r>
    <x v="61"/>
    <x v="47"/>
    <x v="1"/>
    <x v="0"/>
    <x v="2"/>
    <x v="2"/>
    <x v="7"/>
    <x v="1"/>
    <x v="2"/>
    <n v="9231"/>
  </r>
  <r>
    <x v="62"/>
    <x v="48"/>
    <x v="2"/>
    <x v="1"/>
    <x v="0"/>
    <x v="3"/>
    <x v="8"/>
    <x v="1"/>
    <x v="2"/>
    <n v="4387"/>
  </r>
  <r>
    <x v="63"/>
    <x v="49"/>
    <x v="5"/>
    <x v="1"/>
    <x v="2"/>
    <x v="1"/>
    <x v="8"/>
    <x v="1"/>
    <x v="2"/>
    <n v="2763"/>
  </r>
  <r>
    <x v="64"/>
    <x v="50"/>
    <x v="2"/>
    <x v="1"/>
    <x v="1"/>
    <x v="0"/>
    <x v="8"/>
    <x v="1"/>
    <x v="2"/>
    <n v="7898"/>
  </r>
  <r>
    <x v="65"/>
    <x v="50"/>
    <x v="2"/>
    <x v="1"/>
    <x v="6"/>
    <x v="0"/>
    <x v="8"/>
    <x v="1"/>
    <x v="2"/>
    <n v="2427"/>
  </r>
  <r>
    <x v="66"/>
    <x v="50"/>
    <x v="2"/>
    <x v="1"/>
    <x v="5"/>
    <x v="0"/>
    <x v="8"/>
    <x v="1"/>
    <x v="2"/>
    <n v="8663"/>
  </r>
  <r>
    <x v="67"/>
    <x v="51"/>
    <x v="0"/>
    <x v="0"/>
    <x v="3"/>
    <x v="3"/>
    <x v="8"/>
    <x v="1"/>
    <x v="2"/>
    <n v="2789"/>
  </r>
  <r>
    <x v="68"/>
    <x v="52"/>
    <x v="2"/>
    <x v="1"/>
    <x v="0"/>
    <x v="0"/>
    <x v="8"/>
    <x v="1"/>
    <x v="2"/>
    <n v="4054"/>
  </r>
  <r>
    <x v="69"/>
    <x v="53"/>
    <x v="6"/>
    <x v="1"/>
    <x v="0"/>
    <x v="0"/>
    <x v="8"/>
    <x v="1"/>
    <x v="2"/>
    <n v="2262"/>
  </r>
  <r>
    <x v="70"/>
    <x v="54"/>
    <x v="6"/>
    <x v="1"/>
    <x v="1"/>
    <x v="0"/>
    <x v="8"/>
    <x v="1"/>
    <x v="2"/>
    <n v="5600"/>
  </r>
  <r>
    <x v="71"/>
    <x v="55"/>
    <x v="2"/>
    <x v="1"/>
    <x v="0"/>
    <x v="0"/>
    <x v="8"/>
    <x v="1"/>
    <x v="2"/>
    <n v="5787"/>
  </r>
  <r>
    <x v="72"/>
    <x v="56"/>
    <x v="4"/>
    <x v="1"/>
    <x v="2"/>
    <x v="0"/>
    <x v="8"/>
    <x v="1"/>
    <x v="2"/>
    <n v="6295"/>
  </r>
  <r>
    <x v="73"/>
    <x v="56"/>
    <x v="2"/>
    <x v="1"/>
    <x v="3"/>
    <x v="1"/>
    <x v="8"/>
    <x v="1"/>
    <x v="2"/>
    <n v="474"/>
  </r>
  <r>
    <x v="74"/>
    <x v="57"/>
    <x v="5"/>
    <x v="1"/>
    <x v="6"/>
    <x v="0"/>
    <x v="8"/>
    <x v="1"/>
    <x v="2"/>
    <n v="4325"/>
  </r>
  <r>
    <x v="75"/>
    <x v="57"/>
    <x v="2"/>
    <x v="1"/>
    <x v="0"/>
    <x v="3"/>
    <x v="8"/>
    <x v="1"/>
    <x v="2"/>
    <n v="592"/>
  </r>
  <r>
    <x v="76"/>
    <x v="58"/>
    <x v="4"/>
    <x v="1"/>
    <x v="0"/>
    <x v="2"/>
    <x v="8"/>
    <x v="1"/>
    <x v="2"/>
    <n v="4330"/>
  </r>
  <r>
    <x v="77"/>
    <x v="59"/>
    <x v="2"/>
    <x v="1"/>
    <x v="1"/>
    <x v="2"/>
    <x v="8"/>
    <x v="1"/>
    <x v="2"/>
    <n v="9405"/>
  </r>
  <r>
    <x v="78"/>
    <x v="60"/>
    <x v="5"/>
    <x v="1"/>
    <x v="6"/>
    <x v="2"/>
    <x v="8"/>
    <x v="1"/>
    <x v="2"/>
    <n v="7671"/>
  </r>
  <r>
    <x v="79"/>
    <x v="61"/>
    <x v="0"/>
    <x v="0"/>
    <x v="1"/>
    <x v="2"/>
    <x v="9"/>
    <x v="1"/>
    <x v="2"/>
    <n v="5791"/>
  </r>
  <r>
    <x v="80"/>
    <x v="61"/>
    <x v="2"/>
    <x v="1"/>
    <x v="2"/>
    <x v="2"/>
    <x v="9"/>
    <x v="1"/>
    <x v="2"/>
    <n v="6007"/>
  </r>
  <r>
    <x v="81"/>
    <x v="62"/>
    <x v="2"/>
    <x v="1"/>
    <x v="3"/>
    <x v="2"/>
    <x v="9"/>
    <x v="1"/>
    <x v="2"/>
    <n v="5030"/>
  </r>
  <r>
    <x v="82"/>
    <x v="62"/>
    <x v="0"/>
    <x v="0"/>
    <x v="1"/>
    <x v="2"/>
    <x v="9"/>
    <x v="1"/>
    <x v="2"/>
    <n v="6763"/>
  </r>
  <r>
    <x v="83"/>
    <x v="62"/>
    <x v="2"/>
    <x v="1"/>
    <x v="4"/>
    <x v="2"/>
    <x v="9"/>
    <x v="1"/>
    <x v="2"/>
    <n v="4248"/>
  </r>
  <r>
    <x v="84"/>
    <x v="63"/>
    <x v="2"/>
    <x v="1"/>
    <x v="6"/>
    <x v="2"/>
    <x v="9"/>
    <x v="1"/>
    <x v="2"/>
    <n v="9543"/>
  </r>
  <r>
    <x v="85"/>
    <x v="64"/>
    <x v="1"/>
    <x v="0"/>
    <x v="1"/>
    <x v="2"/>
    <x v="9"/>
    <x v="1"/>
    <x v="2"/>
    <n v="2054"/>
  </r>
  <r>
    <x v="86"/>
    <x v="65"/>
    <x v="3"/>
    <x v="0"/>
    <x v="3"/>
    <x v="2"/>
    <x v="9"/>
    <x v="1"/>
    <x v="2"/>
    <n v="7094"/>
  </r>
  <r>
    <x v="87"/>
    <x v="65"/>
    <x v="0"/>
    <x v="0"/>
    <x v="0"/>
    <x v="2"/>
    <x v="9"/>
    <x v="1"/>
    <x v="2"/>
    <n v="6087"/>
  </r>
  <r>
    <x v="88"/>
    <x v="66"/>
    <x v="5"/>
    <x v="1"/>
    <x v="4"/>
    <x v="2"/>
    <x v="9"/>
    <x v="1"/>
    <x v="2"/>
    <n v="4264"/>
  </r>
  <r>
    <x v="89"/>
    <x v="66"/>
    <x v="6"/>
    <x v="1"/>
    <x v="0"/>
    <x v="0"/>
    <x v="9"/>
    <x v="1"/>
    <x v="2"/>
    <n v="9333"/>
  </r>
  <r>
    <x v="90"/>
    <x v="67"/>
    <x v="6"/>
    <x v="1"/>
    <x v="3"/>
    <x v="2"/>
    <x v="9"/>
    <x v="1"/>
    <x v="2"/>
    <n v="8775"/>
  </r>
  <r>
    <x v="91"/>
    <x v="67"/>
    <x v="1"/>
    <x v="0"/>
    <x v="1"/>
    <x v="2"/>
    <x v="9"/>
    <x v="1"/>
    <x v="2"/>
    <n v="2011"/>
  </r>
  <r>
    <x v="92"/>
    <x v="68"/>
    <x v="2"/>
    <x v="1"/>
    <x v="0"/>
    <x v="2"/>
    <x v="9"/>
    <x v="1"/>
    <x v="2"/>
    <n v="5632"/>
  </r>
  <r>
    <x v="93"/>
    <x v="69"/>
    <x v="2"/>
    <x v="1"/>
    <x v="5"/>
    <x v="2"/>
    <x v="9"/>
    <x v="1"/>
    <x v="2"/>
    <n v="4904"/>
  </r>
  <r>
    <x v="94"/>
    <x v="69"/>
    <x v="3"/>
    <x v="0"/>
    <x v="4"/>
    <x v="0"/>
    <x v="9"/>
    <x v="1"/>
    <x v="2"/>
    <n v="1002"/>
  </r>
  <r>
    <x v="95"/>
    <x v="70"/>
    <x v="4"/>
    <x v="1"/>
    <x v="1"/>
    <x v="0"/>
    <x v="9"/>
    <x v="1"/>
    <x v="2"/>
    <n v="8141"/>
  </r>
  <r>
    <x v="96"/>
    <x v="71"/>
    <x v="4"/>
    <x v="1"/>
    <x v="2"/>
    <x v="0"/>
    <x v="9"/>
    <x v="1"/>
    <x v="2"/>
    <n v="3644"/>
  </r>
  <r>
    <x v="97"/>
    <x v="72"/>
    <x v="4"/>
    <x v="1"/>
    <x v="4"/>
    <x v="0"/>
    <x v="9"/>
    <x v="1"/>
    <x v="2"/>
    <n v="1380"/>
  </r>
  <r>
    <x v="98"/>
    <x v="72"/>
    <x v="1"/>
    <x v="0"/>
    <x v="3"/>
    <x v="0"/>
    <x v="9"/>
    <x v="1"/>
    <x v="2"/>
    <n v="8354"/>
  </r>
  <r>
    <x v="99"/>
    <x v="72"/>
    <x v="2"/>
    <x v="1"/>
    <x v="0"/>
    <x v="0"/>
    <x v="9"/>
    <x v="1"/>
    <x v="2"/>
    <n v="5182"/>
  </r>
  <r>
    <x v="100"/>
    <x v="73"/>
    <x v="5"/>
    <x v="1"/>
    <x v="6"/>
    <x v="0"/>
    <x v="9"/>
    <x v="1"/>
    <x v="2"/>
    <n v="2193"/>
  </r>
  <r>
    <x v="101"/>
    <x v="73"/>
    <x v="6"/>
    <x v="1"/>
    <x v="0"/>
    <x v="0"/>
    <x v="9"/>
    <x v="1"/>
    <x v="2"/>
    <n v="3647"/>
  </r>
  <r>
    <x v="102"/>
    <x v="74"/>
    <x v="5"/>
    <x v="1"/>
    <x v="0"/>
    <x v="0"/>
    <x v="9"/>
    <x v="1"/>
    <x v="2"/>
    <n v="4104"/>
  </r>
  <r>
    <x v="103"/>
    <x v="75"/>
    <x v="0"/>
    <x v="0"/>
    <x v="0"/>
    <x v="0"/>
    <x v="9"/>
    <x v="1"/>
    <x v="2"/>
    <n v="7457"/>
  </r>
  <r>
    <x v="104"/>
    <x v="76"/>
    <x v="6"/>
    <x v="1"/>
    <x v="2"/>
    <x v="0"/>
    <x v="10"/>
    <x v="1"/>
    <x v="3"/>
    <n v="3767"/>
  </r>
  <r>
    <x v="105"/>
    <x v="77"/>
    <x v="1"/>
    <x v="0"/>
    <x v="3"/>
    <x v="0"/>
    <x v="10"/>
    <x v="1"/>
    <x v="3"/>
    <n v="4685"/>
  </r>
  <r>
    <x v="106"/>
    <x v="78"/>
    <x v="2"/>
    <x v="1"/>
    <x v="0"/>
    <x v="0"/>
    <x v="10"/>
    <x v="1"/>
    <x v="3"/>
    <n v="3917"/>
  </r>
  <r>
    <x v="107"/>
    <x v="79"/>
    <x v="5"/>
    <x v="1"/>
    <x v="2"/>
    <x v="0"/>
    <x v="10"/>
    <x v="1"/>
    <x v="3"/>
    <n v="521"/>
  </r>
  <r>
    <x v="108"/>
    <x v="79"/>
    <x v="5"/>
    <x v="1"/>
    <x v="6"/>
    <x v="3"/>
    <x v="10"/>
    <x v="1"/>
    <x v="3"/>
    <n v="5605"/>
  </r>
  <r>
    <x v="109"/>
    <x v="79"/>
    <x v="1"/>
    <x v="0"/>
    <x v="3"/>
    <x v="0"/>
    <x v="10"/>
    <x v="1"/>
    <x v="3"/>
    <n v="9630"/>
  </r>
  <r>
    <x v="110"/>
    <x v="80"/>
    <x v="2"/>
    <x v="1"/>
    <x v="2"/>
    <x v="0"/>
    <x v="10"/>
    <x v="1"/>
    <x v="3"/>
    <n v="6941"/>
  </r>
  <r>
    <x v="111"/>
    <x v="81"/>
    <x v="1"/>
    <x v="0"/>
    <x v="1"/>
    <x v="0"/>
    <x v="10"/>
    <x v="1"/>
    <x v="3"/>
    <n v="7231"/>
  </r>
  <r>
    <x v="112"/>
    <x v="81"/>
    <x v="1"/>
    <x v="0"/>
    <x v="4"/>
    <x v="0"/>
    <x v="10"/>
    <x v="1"/>
    <x v="3"/>
    <n v="8891"/>
  </r>
  <r>
    <x v="113"/>
    <x v="81"/>
    <x v="2"/>
    <x v="1"/>
    <x v="6"/>
    <x v="0"/>
    <x v="10"/>
    <x v="1"/>
    <x v="3"/>
    <n v="107"/>
  </r>
  <r>
    <x v="114"/>
    <x v="82"/>
    <x v="2"/>
    <x v="1"/>
    <x v="0"/>
    <x v="0"/>
    <x v="10"/>
    <x v="1"/>
    <x v="3"/>
    <n v="4243"/>
  </r>
  <r>
    <x v="115"/>
    <x v="83"/>
    <x v="4"/>
    <x v="1"/>
    <x v="0"/>
    <x v="0"/>
    <x v="10"/>
    <x v="1"/>
    <x v="3"/>
    <n v="4514"/>
  </r>
  <r>
    <x v="116"/>
    <x v="84"/>
    <x v="6"/>
    <x v="1"/>
    <x v="0"/>
    <x v="0"/>
    <x v="10"/>
    <x v="1"/>
    <x v="3"/>
    <n v="5480"/>
  </r>
  <r>
    <x v="117"/>
    <x v="85"/>
    <x v="2"/>
    <x v="1"/>
    <x v="6"/>
    <x v="0"/>
    <x v="10"/>
    <x v="1"/>
    <x v="3"/>
    <n v="5002"/>
  </r>
  <r>
    <x v="118"/>
    <x v="86"/>
    <x v="2"/>
    <x v="1"/>
    <x v="2"/>
    <x v="0"/>
    <x v="10"/>
    <x v="1"/>
    <x v="3"/>
    <n v="8530"/>
  </r>
  <r>
    <x v="119"/>
    <x v="87"/>
    <x v="4"/>
    <x v="1"/>
    <x v="5"/>
    <x v="0"/>
    <x v="10"/>
    <x v="1"/>
    <x v="3"/>
    <n v="4819"/>
  </r>
  <r>
    <x v="120"/>
    <x v="88"/>
    <x v="1"/>
    <x v="0"/>
    <x v="1"/>
    <x v="3"/>
    <x v="10"/>
    <x v="1"/>
    <x v="3"/>
    <n v="6343"/>
  </r>
  <r>
    <x v="121"/>
    <x v="89"/>
    <x v="4"/>
    <x v="1"/>
    <x v="1"/>
    <x v="0"/>
    <x v="10"/>
    <x v="1"/>
    <x v="3"/>
    <n v="2318"/>
  </r>
  <r>
    <x v="122"/>
    <x v="90"/>
    <x v="4"/>
    <x v="1"/>
    <x v="1"/>
    <x v="0"/>
    <x v="10"/>
    <x v="1"/>
    <x v="3"/>
    <n v="220"/>
  </r>
  <r>
    <x v="123"/>
    <x v="90"/>
    <x v="4"/>
    <x v="1"/>
    <x v="5"/>
    <x v="3"/>
    <x v="10"/>
    <x v="1"/>
    <x v="3"/>
    <n v="6341"/>
  </r>
  <r>
    <x v="124"/>
    <x v="91"/>
    <x v="5"/>
    <x v="1"/>
    <x v="3"/>
    <x v="3"/>
    <x v="10"/>
    <x v="1"/>
    <x v="3"/>
    <n v="330"/>
  </r>
  <r>
    <x v="125"/>
    <x v="92"/>
    <x v="1"/>
    <x v="0"/>
    <x v="1"/>
    <x v="3"/>
    <x v="10"/>
    <x v="1"/>
    <x v="3"/>
    <n v="3027"/>
  </r>
  <r>
    <x v="126"/>
    <x v="93"/>
    <x v="4"/>
    <x v="1"/>
    <x v="5"/>
    <x v="2"/>
    <x v="10"/>
    <x v="1"/>
    <x v="3"/>
    <n v="850"/>
  </r>
  <r>
    <x v="127"/>
    <x v="94"/>
    <x v="2"/>
    <x v="1"/>
    <x v="1"/>
    <x v="3"/>
    <x v="10"/>
    <x v="1"/>
    <x v="3"/>
    <n v="8986"/>
  </r>
  <r>
    <x v="128"/>
    <x v="95"/>
    <x v="1"/>
    <x v="0"/>
    <x v="0"/>
    <x v="3"/>
    <x v="11"/>
    <x v="1"/>
    <x v="3"/>
    <n v="3800"/>
  </r>
  <r>
    <x v="129"/>
    <x v="96"/>
    <x v="0"/>
    <x v="0"/>
    <x v="1"/>
    <x v="3"/>
    <x v="11"/>
    <x v="1"/>
    <x v="3"/>
    <n v="5751"/>
  </r>
  <r>
    <x v="130"/>
    <x v="96"/>
    <x v="5"/>
    <x v="1"/>
    <x v="1"/>
    <x v="3"/>
    <x v="11"/>
    <x v="1"/>
    <x v="3"/>
    <n v="1704"/>
  </r>
  <r>
    <x v="131"/>
    <x v="97"/>
    <x v="2"/>
    <x v="1"/>
    <x v="4"/>
    <x v="2"/>
    <x v="11"/>
    <x v="1"/>
    <x v="3"/>
    <n v="7966"/>
  </r>
  <r>
    <x v="132"/>
    <x v="98"/>
    <x v="2"/>
    <x v="1"/>
    <x v="0"/>
    <x v="3"/>
    <x v="11"/>
    <x v="1"/>
    <x v="3"/>
    <n v="852"/>
  </r>
  <r>
    <x v="133"/>
    <x v="99"/>
    <x v="3"/>
    <x v="0"/>
    <x v="4"/>
    <x v="3"/>
    <x v="11"/>
    <x v="1"/>
    <x v="3"/>
    <n v="8416"/>
  </r>
  <r>
    <x v="134"/>
    <x v="99"/>
    <x v="2"/>
    <x v="1"/>
    <x v="6"/>
    <x v="3"/>
    <x v="11"/>
    <x v="1"/>
    <x v="3"/>
    <n v="7144"/>
  </r>
  <r>
    <x v="135"/>
    <x v="100"/>
    <x v="1"/>
    <x v="0"/>
    <x v="0"/>
    <x v="3"/>
    <x v="11"/>
    <x v="1"/>
    <x v="3"/>
    <n v="7854"/>
  </r>
  <r>
    <x v="136"/>
    <x v="101"/>
    <x v="4"/>
    <x v="1"/>
    <x v="0"/>
    <x v="3"/>
    <x v="11"/>
    <x v="1"/>
    <x v="3"/>
    <n v="859"/>
  </r>
  <r>
    <x v="137"/>
    <x v="102"/>
    <x v="1"/>
    <x v="0"/>
    <x v="0"/>
    <x v="0"/>
    <x v="11"/>
    <x v="1"/>
    <x v="3"/>
    <n v="8049"/>
  </r>
  <r>
    <x v="138"/>
    <x v="102"/>
    <x v="2"/>
    <x v="1"/>
    <x v="3"/>
    <x v="3"/>
    <x v="11"/>
    <x v="1"/>
    <x v="3"/>
    <n v="2836"/>
  </r>
  <r>
    <x v="139"/>
    <x v="102"/>
    <x v="0"/>
    <x v="0"/>
    <x v="0"/>
    <x v="3"/>
    <x v="11"/>
    <x v="1"/>
    <x v="3"/>
    <n v="1743"/>
  </r>
  <r>
    <x v="140"/>
    <x v="103"/>
    <x v="5"/>
    <x v="1"/>
    <x v="6"/>
    <x v="2"/>
    <x v="11"/>
    <x v="1"/>
    <x v="3"/>
    <n v="3844"/>
  </r>
  <r>
    <x v="141"/>
    <x v="104"/>
    <x v="5"/>
    <x v="1"/>
    <x v="6"/>
    <x v="2"/>
    <x v="11"/>
    <x v="1"/>
    <x v="3"/>
    <n v="7490"/>
  </r>
  <r>
    <x v="142"/>
    <x v="105"/>
    <x v="1"/>
    <x v="0"/>
    <x v="3"/>
    <x v="2"/>
    <x v="11"/>
    <x v="1"/>
    <x v="3"/>
    <n v="4483"/>
  </r>
  <r>
    <x v="143"/>
    <x v="106"/>
    <x v="5"/>
    <x v="1"/>
    <x v="2"/>
    <x v="2"/>
    <x v="0"/>
    <x v="1"/>
    <x v="0"/>
    <n v="7333"/>
  </r>
  <r>
    <x v="144"/>
    <x v="106"/>
    <x v="0"/>
    <x v="0"/>
    <x v="0"/>
    <x v="2"/>
    <x v="0"/>
    <x v="1"/>
    <x v="0"/>
    <n v="7654"/>
  </r>
  <r>
    <x v="145"/>
    <x v="107"/>
    <x v="5"/>
    <x v="1"/>
    <x v="1"/>
    <x v="2"/>
    <x v="0"/>
    <x v="1"/>
    <x v="0"/>
    <n v="3944"/>
  </r>
  <r>
    <x v="146"/>
    <x v="108"/>
    <x v="3"/>
    <x v="0"/>
    <x v="3"/>
    <x v="2"/>
    <x v="0"/>
    <x v="1"/>
    <x v="0"/>
    <n v="5761"/>
  </r>
  <r>
    <x v="147"/>
    <x v="109"/>
    <x v="2"/>
    <x v="1"/>
    <x v="5"/>
    <x v="0"/>
    <x v="0"/>
    <x v="1"/>
    <x v="0"/>
    <n v="6864"/>
  </r>
  <r>
    <x v="148"/>
    <x v="110"/>
    <x v="2"/>
    <x v="1"/>
    <x v="3"/>
    <x v="2"/>
    <x v="0"/>
    <x v="1"/>
    <x v="0"/>
    <n v="4016"/>
  </r>
  <r>
    <x v="149"/>
    <x v="111"/>
    <x v="2"/>
    <x v="1"/>
    <x v="0"/>
    <x v="2"/>
    <x v="0"/>
    <x v="1"/>
    <x v="0"/>
    <n v="1841"/>
  </r>
  <r>
    <x v="150"/>
    <x v="112"/>
    <x v="2"/>
    <x v="1"/>
    <x v="4"/>
    <x v="2"/>
    <x v="0"/>
    <x v="1"/>
    <x v="0"/>
    <n v="424"/>
  </r>
  <r>
    <x v="151"/>
    <x v="113"/>
    <x v="2"/>
    <x v="1"/>
    <x v="1"/>
    <x v="2"/>
    <x v="0"/>
    <x v="1"/>
    <x v="0"/>
    <n v="8765"/>
  </r>
  <r>
    <x v="152"/>
    <x v="114"/>
    <x v="2"/>
    <x v="1"/>
    <x v="0"/>
    <x v="0"/>
    <x v="0"/>
    <x v="1"/>
    <x v="0"/>
    <n v="5583"/>
  </r>
  <r>
    <x v="153"/>
    <x v="115"/>
    <x v="1"/>
    <x v="0"/>
    <x v="5"/>
    <x v="2"/>
    <x v="0"/>
    <x v="1"/>
    <x v="0"/>
    <n v="4390"/>
  </r>
  <r>
    <x v="154"/>
    <x v="116"/>
    <x v="1"/>
    <x v="0"/>
    <x v="2"/>
    <x v="0"/>
    <x v="1"/>
    <x v="1"/>
    <x v="0"/>
    <n v="352"/>
  </r>
  <r>
    <x v="155"/>
    <x v="117"/>
    <x v="5"/>
    <x v="1"/>
    <x v="0"/>
    <x v="0"/>
    <x v="1"/>
    <x v="1"/>
    <x v="0"/>
    <n v="8489"/>
  </r>
  <r>
    <x v="156"/>
    <x v="118"/>
    <x v="2"/>
    <x v="1"/>
    <x v="6"/>
    <x v="0"/>
    <x v="1"/>
    <x v="1"/>
    <x v="0"/>
    <n v="7090"/>
  </r>
  <r>
    <x v="157"/>
    <x v="119"/>
    <x v="2"/>
    <x v="1"/>
    <x v="0"/>
    <x v="0"/>
    <x v="1"/>
    <x v="1"/>
    <x v="0"/>
    <n v="7880"/>
  </r>
  <r>
    <x v="158"/>
    <x v="120"/>
    <x v="4"/>
    <x v="1"/>
    <x v="0"/>
    <x v="2"/>
    <x v="1"/>
    <x v="1"/>
    <x v="0"/>
    <n v="3861"/>
  </r>
  <r>
    <x v="159"/>
    <x v="120"/>
    <x v="1"/>
    <x v="0"/>
    <x v="3"/>
    <x v="0"/>
    <x v="1"/>
    <x v="1"/>
    <x v="0"/>
    <n v="7927"/>
  </r>
  <r>
    <x v="160"/>
    <x v="121"/>
    <x v="2"/>
    <x v="1"/>
    <x v="0"/>
    <x v="0"/>
    <x v="1"/>
    <x v="1"/>
    <x v="0"/>
    <n v="6162"/>
  </r>
  <r>
    <x v="161"/>
    <x v="122"/>
    <x v="6"/>
    <x v="1"/>
    <x v="4"/>
    <x v="0"/>
    <x v="1"/>
    <x v="1"/>
    <x v="0"/>
    <n v="5523"/>
  </r>
  <r>
    <x v="162"/>
    <x v="123"/>
    <x v="1"/>
    <x v="0"/>
    <x v="1"/>
    <x v="0"/>
    <x v="1"/>
    <x v="1"/>
    <x v="0"/>
    <n v="5936"/>
  </r>
  <r>
    <x v="163"/>
    <x v="123"/>
    <x v="0"/>
    <x v="0"/>
    <x v="3"/>
    <x v="0"/>
    <x v="1"/>
    <x v="1"/>
    <x v="0"/>
    <n v="7251"/>
  </r>
  <r>
    <x v="164"/>
    <x v="124"/>
    <x v="4"/>
    <x v="1"/>
    <x v="4"/>
    <x v="0"/>
    <x v="1"/>
    <x v="1"/>
    <x v="0"/>
    <n v="6187"/>
  </r>
  <r>
    <x v="165"/>
    <x v="125"/>
    <x v="2"/>
    <x v="1"/>
    <x v="3"/>
    <x v="1"/>
    <x v="1"/>
    <x v="1"/>
    <x v="0"/>
    <n v="3210"/>
  </r>
  <r>
    <x v="166"/>
    <x v="126"/>
    <x v="0"/>
    <x v="0"/>
    <x v="3"/>
    <x v="1"/>
    <x v="1"/>
    <x v="1"/>
    <x v="0"/>
    <n v="682"/>
  </r>
  <r>
    <x v="167"/>
    <x v="127"/>
    <x v="2"/>
    <x v="1"/>
    <x v="4"/>
    <x v="1"/>
    <x v="1"/>
    <x v="1"/>
    <x v="0"/>
    <n v="793"/>
  </r>
  <r>
    <x v="168"/>
    <x v="128"/>
    <x v="0"/>
    <x v="0"/>
    <x v="3"/>
    <x v="1"/>
    <x v="1"/>
    <x v="1"/>
    <x v="0"/>
    <n v="5346"/>
  </r>
  <r>
    <x v="169"/>
    <x v="129"/>
    <x v="2"/>
    <x v="1"/>
    <x v="5"/>
    <x v="1"/>
    <x v="1"/>
    <x v="1"/>
    <x v="0"/>
    <n v="7103"/>
  </r>
  <r>
    <x v="170"/>
    <x v="130"/>
    <x v="0"/>
    <x v="0"/>
    <x v="0"/>
    <x v="1"/>
    <x v="1"/>
    <x v="1"/>
    <x v="0"/>
    <n v="4603"/>
  </r>
  <r>
    <x v="171"/>
    <x v="131"/>
    <x v="5"/>
    <x v="1"/>
    <x v="6"/>
    <x v="1"/>
    <x v="2"/>
    <x v="1"/>
    <x v="0"/>
    <n v="8160"/>
  </r>
  <r>
    <x v="172"/>
    <x v="132"/>
    <x v="5"/>
    <x v="1"/>
    <x v="1"/>
    <x v="1"/>
    <x v="2"/>
    <x v="1"/>
    <x v="0"/>
    <n v="7171"/>
  </r>
  <r>
    <x v="173"/>
    <x v="133"/>
    <x v="2"/>
    <x v="1"/>
    <x v="5"/>
    <x v="0"/>
    <x v="2"/>
    <x v="1"/>
    <x v="0"/>
    <n v="3552"/>
  </r>
  <r>
    <x v="174"/>
    <x v="134"/>
    <x v="2"/>
    <x v="1"/>
    <x v="4"/>
    <x v="1"/>
    <x v="2"/>
    <x v="1"/>
    <x v="0"/>
    <n v="7273"/>
  </r>
  <r>
    <x v="175"/>
    <x v="135"/>
    <x v="2"/>
    <x v="1"/>
    <x v="3"/>
    <x v="1"/>
    <x v="2"/>
    <x v="1"/>
    <x v="0"/>
    <n v="2402"/>
  </r>
  <r>
    <x v="176"/>
    <x v="135"/>
    <x v="2"/>
    <x v="1"/>
    <x v="4"/>
    <x v="2"/>
    <x v="2"/>
    <x v="1"/>
    <x v="0"/>
    <n v="1197"/>
  </r>
  <r>
    <x v="177"/>
    <x v="136"/>
    <x v="3"/>
    <x v="0"/>
    <x v="4"/>
    <x v="2"/>
    <x v="2"/>
    <x v="1"/>
    <x v="0"/>
    <n v="5015"/>
  </r>
  <r>
    <x v="178"/>
    <x v="136"/>
    <x v="4"/>
    <x v="1"/>
    <x v="0"/>
    <x v="2"/>
    <x v="2"/>
    <x v="1"/>
    <x v="0"/>
    <n v="5818"/>
  </r>
  <r>
    <x v="179"/>
    <x v="136"/>
    <x v="2"/>
    <x v="1"/>
    <x v="1"/>
    <x v="2"/>
    <x v="2"/>
    <x v="1"/>
    <x v="0"/>
    <n v="4399"/>
  </r>
  <r>
    <x v="180"/>
    <x v="136"/>
    <x v="0"/>
    <x v="0"/>
    <x v="0"/>
    <x v="2"/>
    <x v="2"/>
    <x v="1"/>
    <x v="0"/>
    <n v="3011"/>
  </r>
  <r>
    <x v="181"/>
    <x v="136"/>
    <x v="5"/>
    <x v="1"/>
    <x v="1"/>
    <x v="2"/>
    <x v="2"/>
    <x v="1"/>
    <x v="0"/>
    <n v="4715"/>
  </r>
  <r>
    <x v="182"/>
    <x v="137"/>
    <x v="5"/>
    <x v="1"/>
    <x v="6"/>
    <x v="2"/>
    <x v="2"/>
    <x v="1"/>
    <x v="0"/>
    <n v="5321"/>
  </r>
  <r>
    <x v="183"/>
    <x v="138"/>
    <x v="2"/>
    <x v="1"/>
    <x v="0"/>
    <x v="2"/>
    <x v="2"/>
    <x v="1"/>
    <x v="0"/>
    <n v="8894"/>
  </r>
  <r>
    <x v="184"/>
    <x v="139"/>
    <x v="0"/>
    <x v="0"/>
    <x v="1"/>
    <x v="0"/>
    <x v="2"/>
    <x v="1"/>
    <x v="0"/>
    <n v="4846"/>
  </r>
  <r>
    <x v="185"/>
    <x v="139"/>
    <x v="1"/>
    <x v="0"/>
    <x v="3"/>
    <x v="1"/>
    <x v="2"/>
    <x v="1"/>
    <x v="0"/>
    <n v="284"/>
  </r>
  <r>
    <x v="186"/>
    <x v="140"/>
    <x v="4"/>
    <x v="1"/>
    <x v="1"/>
    <x v="3"/>
    <x v="2"/>
    <x v="1"/>
    <x v="0"/>
    <n v="8283"/>
  </r>
  <r>
    <x v="187"/>
    <x v="141"/>
    <x v="4"/>
    <x v="1"/>
    <x v="2"/>
    <x v="3"/>
    <x v="2"/>
    <x v="1"/>
    <x v="0"/>
    <n v="9990"/>
  </r>
  <r>
    <x v="188"/>
    <x v="142"/>
    <x v="2"/>
    <x v="1"/>
    <x v="4"/>
    <x v="3"/>
    <x v="12"/>
    <x v="1"/>
    <x v="0"/>
    <n v="9014"/>
  </r>
  <r>
    <x v="189"/>
    <x v="142"/>
    <x v="5"/>
    <x v="1"/>
    <x v="6"/>
    <x v="3"/>
    <x v="2"/>
    <x v="1"/>
    <x v="0"/>
    <n v="1942"/>
  </r>
  <r>
    <x v="190"/>
    <x v="142"/>
    <x v="2"/>
    <x v="1"/>
    <x v="0"/>
    <x v="2"/>
    <x v="2"/>
    <x v="1"/>
    <x v="0"/>
    <n v="7223"/>
  </r>
  <r>
    <x v="191"/>
    <x v="143"/>
    <x v="0"/>
    <x v="0"/>
    <x v="0"/>
    <x v="2"/>
    <x v="2"/>
    <x v="1"/>
    <x v="0"/>
    <n v="4673"/>
  </r>
  <r>
    <x v="192"/>
    <x v="144"/>
    <x v="0"/>
    <x v="0"/>
    <x v="6"/>
    <x v="2"/>
    <x v="2"/>
    <x v="1"/>
    <x v="0"/>
    <n v="9104"/>
  </r>
  <r>
    <x v="193"/>
    <x v="145"/>
    <x v="5"/>
    <x v="1"/>
    <x v="0"/>
    <x v="2"/>
    <x v="2"/>
    <x v="1"/>
    <x v="0"/>
    <n v="6078"/>
  </r>
  <r>
    <x v="194"/>
    <x v="145"/>
    <x v="3"/>
    <x v="0"/>
    <x v="3"/>
    <x v="2"/>
    <x v="2"/>
    <x v="1"/>
    <x v="0"/>
    <n v="3278"/>
  </r>
  <r>
    <x v="195"/>
    <x v="146"/>
    <x v="2"/>
    <x v="1"/>
    <x v="2"/>
    <x v="0"/>
    <x v="2"/>
    <x v="1"/>
    <x v="0"/>
    <n v="136"/>
  </r>
  <r>
    <x v="196"/>
    <x v="146"/>
    <x v="2"/>
    <x v="1"/>
    <x v="4"/>
    <x v="0"/>
    <x v="2"/>
    <x v="1"/>
    <x v="0"/>
    <n v="8377"/>
  </r>
  <r>
    <x v="197"/>
    <x v="147"/>
    <x v="2"/>
    <x v="1"/>
    <x v="0"/>
    <x v="0"/>
    <x v="2"/>
    <x v="1"/>
    <x v="0"/>
    <n v="2382"/>
  </r>
  <r>
    <x v="198"/>
    <x v="148"/>
    <x v="2"/>
    <x v="1"/>
    <x v="3"/>
    <x v="0"/>
    <x v="2"/>
    <x v="1"/>
    <x v="0"/>
    <n v="8702"/>
  </r>
  <r>
    <x v="199"/>
    <x v="149"/>
    <x v="2"/>
    <x v="1"/>
    <x v="0"/>
    <x v="0"/>
    <x v="3"/>
    <x v="1"/>
    <x v="1"/>
    <n v="5021"/>
  </r>
  <r>
    <x v="200"/>
    <x v="149"/>
    <x v="5"/>
    <x v="1"/>
    <x v="4"/>
    <x v="0"/>
    <x v="3"/>
    <x v="1"/>
    <x v="1"/>
    <n v="1760"/>
  </r>
  <r>
    <x v="201"/>
    <x v="150"/>
    <x v="2"/>
    <x v="1"/>
    <x v="3"/>
    <x v="0"/>
    <x v="3"/>
    <x v="1"/>
    <x v="1"/>
    <n v="4766"/>
  </r>
  <r>
    <x v="202"/>
    <x v="150"/>
    <x v="3"/>
    <x v="0"/>
    <x v="1"/>
    <x v="0"/>
    <x v="3"/>
    <x v="1"/>
    <x v="1"/>
    <n v="1541"/>
  </r>
  <r>
    <x v="203"/>
    <x v="150"/>
    <x v="4"/>
    <x v="1"/>
    <x v="1"/>
    <x v="0"/>
    <x v="3"/>
    <x v="1"/>
    <x v="1"/>
    <n v="2782"/>
  </r>
  <r>
    <x v="204"/>
    <x v="151"/>
    <x v="5"/>
    <x v="1"/>
    <x v="2"/>
    <x v="0"/>
    <x v="3"/>
    <x v="1"/>
    <x v="1"/>
    <n v="2455"/>
  </r>
  <r>
    <x v="205"/>
    <x v="151"/>
    <x v="5"/>
    <x v="1"/>
    <x v="5"/>
    <x v="0"/>
    <x v="3"/>
    <x v="1"/>
    <x v="1"/>
    <n v="4512"/>
  </r>
  <r>
    <x v="206"/>
    <x v="151"/>
    <x v="5"/>
    <x v="1"/>
    <x v="3"/>
    <x v="0"/>
    <x v="3"/>
    <x v="1"/>
    <x v="1"/>
    <n v="8752"/>
  </r>
  <r>
    <x v="207"/>
    <x v="152"/>
    <x v="0"/>
    <x v="0"/>
    <x v="0"/>
    <x v="0"/>
    <x v="3"/>
    <x v="1"/>
    <x v="1"/>
    <n v="9127"/>
  </r>
  <r>
    <x v="208"/>
    <x v="153"/>
    <x v="5"/>
    <x v="1"/>
    <x v="6"/>
    <x v="0"/>
    <x v="3"/>
    <x v="1"/>
    <x v="1"/>
    <n v="1777"/>
  </r>
  <r>
    <x v="209"/>
    <x v="153"/>
    <x v="3"/>
    <x v="0"/>
    <x v="6"/>
    <x v="0"/>
    <x v="3"/>
    <x v="1"/>
    <x v="1"/>
    <n v="680"/>
  </r>
  <r>
    <x v="210"/>
    <x v="154"/>
    <x v="4"/>
    <x v="1"/>
    <x v="0"/>
    <x v="0"/>
    <x v="3"/>
    <x v="1"/>
    <x v="1"/>
    <n v="958"/>
  </r>
  <r>
    <x v="211"/>
    <x v="155"/>
    <x v="0"/>
    <x v="0"/>
    <x v="4"/>
    <x v="0"/>
    <x v="3"/>
    <x v="1"/>
    <x v="1"/>
    <n v="2613"/>
  </r>
  <r>
    <x v="212"/>
    <x v="156"/>
    <x v="0"/>
    <x v="0"/>
    <x v="4"/>
    <x v="2"/>
    <x v="3"/>
    <x v="1"/>
    <x v="1"/>
    <n v="339"/>
  </r>
  <r>
    <x v="213"/>
    <x v="157"/>
    <x v="2"/>
    <x v="1"/>
    <x v="7"/>
    <x v="2"/>
    <x v="3"/>
    <x v="0"/>
    <x v="2"/>
    <n v="5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D8BCAAE-ECD5-412D-874E-B24017358798}" name="yearly sal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Year">
  <location ref="I26:J29" firstHeaderRow="1" firstDataRow="1" firstDataCol="1"/>
  <pivotFields count="13">
    <pivotField showAll="0"/>
    <pivotField numFmtId="14" showAll="0">
      <items count="159">
        <item x="0"/>
        <item x="1"/>
        <item x="2"/>
        <item x="3"/>
        <item x="4"/>
        <item x="5"/>
        <item x="6"/>
        <item x="7"/>
        <item x="8"/>
        <item x="9"/>
        <item x="10"/>
        <item x="11"/>
        <item x="12"/>
        <item x="14"/>
        <item x="13"/>
        <item x="15"/>
        <item x="16"/>
        <item x="17"/>
        <item x="18"/>
        <item x="22"/>
        <item x="23"/>
        <item x="24"/>
        <item x="25"/>
        <item x="26"/>
        <item x="27"/>
        <item x="28"/>
        <item x="19"/>
        <item x="29"/>
        <item x="30"/>
        <item x="31"/>
        <item x="32"/>
        <item x="20"/>
        <item x="33"/>
        <item x="34"/>
        <item x="21"/>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t="default"/>
      </items>
    </pivotField>
    <pivotField showAll="0">
      <items count="8">
        <item x="5"/>
        <item x="2"/>
        <item x="3"/>
        <item x="1"/>
        <item x="0"/>
        <item x="6"/>
        <item x="4"/>
        <item t="default"/>
      </items>
    </pivotField>
    <pivotField showAll="0">
      <items count="3">
        <item x="1"/>
        <item x="0"/>
        <item t="default"/>
      </items>
    </pivotField>
    <pivotField showAll="0">
      <items count="9">
        <item h="1" x="4"/>
        <item h="1" x="2"/>
        <item h="1" x="7"/>
        <item h="1" x="6"/>
        <item x="3"/>
        <item h="1" x="5"/>
        <item h="1" x="1"/>
        <item h="1" x="0"/>
        <item t="default"/>
      </items>
    </pivotField>
    <pivotField showAll="0">
      <items count="5">
        <item x="1"/>
        <item x="2"/>
        <item x="0"/>
        <item x="3"/>
        <item t="default"/>
      </items>
    </pivotField>
    <pivotField showAll="0"/>
    <pivotField axis="axisRow" showAll="0">
      <items count="3">
        <item x="0"/>
        <item x="1"/>
        <item t="default"/>
      </items>
    </pivotField>
    <pivotField showAll="0">
      <items count="5">
        <item x="2"/>
        <item x="3"/>
        <item x="0"/>
        <item x="1"/>
        <item t="default"/>
      </items>
    </pivotField>
    <pivotField dataField="1"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7"/>
  </rowFields>
  <rowItems count="3">
    <i>
      <x/>
    </i>
    <i>
      <x v="1"/>
    </i>
    <i t="grand">
      <x/>
    </i>
  </rowItems>
  <colItems count="1">
    <i/>
  </colItems>
  <dataFields count="1">
    <dataField name="Yearly Sales" fld="9"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3A134DB-410D-4EB0-ADAB-67ACC4C78171}" name="No of order I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at">
  <location ref="F26:F27" firstHeaderRow="1" firstDataRow="1" firstDataCol="0"/>
  <pivotFields count="13">
    <pivotField dataField="1" showAll="0"/>
    <pivotField numFmtId="14" showAll="0">
      <items count="159">
        <item x="0"/>
        <item x="1"/>
        <item x="2"/>
        <item x="3"/>
        <item x="4"/>
        <item x="5"/>
        <item x="6"/>
        <item x="7"/>
        <item x="8"/>
        <item x="9"/>
        <item x="10"/>
        <item x="11"/>
        <item x="12"/>
        <item x="14"/>
        <item x="13"/>
        <item x="15"/>
        <item x="16"/>
        <item x="17"/>
        <item x="18"/>
        <item x="22"/>
        <item x="23"/>
        <item x="24"/>
        <item x="25"/>
        <item x="26"/>
        <item x="27"/>
        <item x="28"/>
        <item x="19"/>
        <item x="29"/>
        <item x="30"/>
        <item x="31"/>
        <item x="32"/>
        <item x="20"/>
        <item x="33"/>
        <item x="34"/>
        <item x="21"/>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t="default"/>
      </items>
    </pivotField>
    <pivotField showAll="0">
      <items count="8">
        <item x="5"/>
        <item x="2"/>
        <item x="3"/>
        <item x="1"/>
        <item x="0"/>
        <item x="6"/>
        <item x="4"/>
        <item t="default"/>
      </items>
    </pivotField>
    <pivotField showAll="0">
      <items count="3">
        <item x="1"/>
        <item x="0"/>
        <item t="default"/>
      </items>
    </pivotField>
    <pivotField showAll="0">
      <items count="9">
        <item h="1" x="4"/>
        <item h="1" x="2"/>
        <item h="1" x="7"/>
        <item h="1" x="6"/>
        <item x="3"/>
        <item h="1" x="5"/>
        <item h="1" x="1"/>
        <item h="1" x="0"/>
        <item t="default"/>
      </items>
    </pivotField>
    <pivotField showAll="0">
      <items count="5">
        <item x="1"/>
        <item x="2"/>
        <item x="0"/>
        <item x="3"/>
        <item t="default"/>
      </items>
    </pivotField>
    <pivotField showAll="0"/>
    <pivotField showAll="0"/>
    <pivotField showAll="0">
      <items count="5">
        <item x="2"/>
        <item x="3"/>
        <item x="0"/>
        <item x="1"/>
        <item t="default"/>
      </items>
    </pivotField>
    <pivotField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Count of Order ID" fld="0" subtotal="count" baseField="0" baseItem="0"/>
  </dataFields>
  <formats count="3">
    <format dxfId="73">
      <pivotArea type="all" dataOnly="0" outline="0" fieldPosition="0"/>
    </format>
    <format dxfId="72">
      <pivotArea outline="0" collapsedLevelsAreSubtotals="1" fieldPosition="0"/>
    </format>
    <format dxfId="7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2E06E54-1C26-4E97-9AC5-EA419283555D}" name="Cat %"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Cat">
  <location ref="A14:B17" firstHeaderRow="1" firstDataRow="1" firstDataCol="1"/>
  <pivotFields count="13">
    <pivotField showAll="0"/>
    <pivotField numFmtId="14" showAll="0">
      <items count="159">
        <item x="0"/>
        <item x="1"/>
        <item x="2"/>
        <item x="3"/>
        <item x="4"/>
        <item x="5"/>
        <item x="6"/>
        <item x="7"/>
        <item x="8"/>
        <item x="9"/>
        <item x="10"/>
        <item x="11"/>
        <item x="12"/>
        <item x="14"/>
        <item x="13"/>
        <item x="15"/>
        <item x="16"/>
        <item x="17"/>
        <item x="18"/>
        <item x="22"/>
        <item x="23"/>
        <item x="24"/>
        <item x="25"/>
        <item x="26"/>
        <item x="27"/>
        <item x="28"/>
        <item x="19"/>
        <item x="29"/>
        <item x="30"/>
        <item x="31"/>
        <item x="32"/>
        <item x="20"/>
        <item x="33"/>
        <item x="34"/>
        <item x="21"/>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t="default"/>
      </items>
    </pivotField>
    <pivotField showAll="0">
      <items count="8">
        <item x="5"/>
        <item x="2"/>
        <item x="3"/>
        <item x="1"/>
        <item x="0"/>
        <item x="6"/>
        <item x="4"/>
        <item t="default"/>
      </items>
    </pivotField>
    <pivotField axis="axisRow" showAll="0">
      <items count="3">
        <item x="1"/>
        <item x="0"/>
        <item t="default"/>
      </items>
    </pivotField>
    <pivotField showAll="0">
      <items count="9">
        <item h="1" x="4"/>
        <item h="1" x="2"/>
        <item h="1" x="7"/>
        <item h="1" x="6"/>
        <item x="3"/>
        <item h="1" x="5"/>
        <item h="1" x="1"/>
        <item h="1" x="0"/>
        <item t="default"/>
      </items>
    </pivotField>
    <pivotField showAll="0">
      <items count="5">
        <item x="1"/>
        <item x="2"/>
        <item x="0"/>
        <item x="3"/>
        <item t="default"/>
      </items>
    </pivotField>
    <pivotField showAll="0"/>
    <pivotField showAll="0"/>
    <pivotField showAll="0">
      <items count="5">
        <item x="2"/>
        <item x="3"/>
        <item x="0"/>
        <item x="1"/>
        <item t="default"/>
      </items>
    </pivotField>
    <pivotField dataField="1"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3">
    <i>
      <x/>
    </i>
    <i>
      <x v="1"/>
    </i>
    <i t="grand">
      <x/>
    </i>
  </rowItems>
  <colItems count="1">
    <i/>
  </colItems>
  <dataFields count="1">
    <dataField name="% Sales" fld="9" showDataAs="percentOfTotal" baseField="0" baseItem="0" numFmtId="10"/>
  </dataFields>
  <chartFormats count="6">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3" count="1" selected="0">
            <x v="0"/>
          </reference>
        </references>
      </pivotArea>
    </chartFormat>
    <chartFormat chart="3" format="6">
      <pivotArea type="data" outline="0" fieldPosition="0">
        <references count="2">
          <reference field="4294967294" count="1" selected="0">
            <x v="0"/>
          </reference>
          <reference field="3" count="1" selected="0">
            <x v="1"/>
          </reference>
        </references>
      </pivotArea>
    </chartFormat>
    <chartFormat chart="7" format="10" series="1">
      <pivotArea type="data" outline="0" fieldPosition="0">
        <references count="1">
          <reference field="4294967294" count="1" selected="0">
            <x v="0"/>
          </reference>
        </references>
      </pivotArea>
    </chartFormat>
    <chartFormat chart="7" format="11">
      <pivotArea type="data" outline="0" fieldPosition="0">
        <references count="2">
          <reference field="4294967294" count="1" selected="0">
            <x v="0"/>
          </reference>
          <reference field="3" count="1" selected="0">
            <x v="0"/>
          </reference>
        </references>
      </pivotArea>
    </chartFormat>
    <chartFormat chart="7" format="12">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0D599BF-DD1D-4ED6-BD27-48272A63B13D}" name="Avg Amoun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at">
  <location ref="F29:F30" firstHeaderRow="1" firstDataRow="1" firstDataCol="0"/>
  <pivotFields count="13">
    <pivotField showAll="0"/>
    <pivotField numFmtId="14" showAll="0">
      <items count="159">
        <item x="0"/>
        <item x="1"/>
        <item x="2"/>
        <item x="3"/>
        <item x="4"/>
        <item x="5"/>
        <item x="6"/>
        <item x="7"/>
        <item x="8"/>
        <item x="9"/>
        <item x="10"/>
        <item x="11"/>
        <item x="12"/>
        <item x="14"/>
        <item x="13"/>
        <item x="15"/>
        <item x="16"/>
        <item x="17"/>
        <item x="18"/>
        <item x="22"/>
        <item x="23"/>
        <item x="24"/>
        <item x="25"/>
        <item x="26"/>
        <item x="27"/>
        <item x="28"/>
        <item x="19"/>
        <item x="29"/>
        <item x="30"/>
        <item x="31"/>
        <item x="32"/>
        <item x="20"/>
        <item x="33"/>
        <item x="34"/>
        <item x="21"/>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t="default"/>
      </items>
    </pivotField>
    <pivotField showAll="0">
      <items count="8">
        <item x="5"/>
        <item x="2"/>
        <item x="3"/>
        <item x="1"/>
        <item x="0"/>
        <item x="6"/>
        <item x="4"/>
        <item t="default"/>
      </items>
    </pivotField>
    <pivotField showAll="0">
      <items count="3">
        <item x="1"/>
        <item x="0"/>
        <item t="default"/>
      </items>
    </pivotField>
    <pivotField showAll="0">
      <items count="9">
        <item h="1" x="4"/>
        <item h="1" x="2"/>
        <item h="1" x="7"/>
        <item h="1" x="6"/>
        <item x="3"/>
        <item h="1" x="5"/>
        <item h="1" x="1"/>
        <item h="1" x="0"/>
        <item t="default"/>
      </items>
    </pivotField>
    <pivotField showAll="0">
      <items count="5">
        <item x="1"/>
        <item x="2"/>
        <item x="0"/>
        <item x="3"/>
        <item t="default"/>
      </items>
    </pivotField>
    <pivotField showAll="0"/>
    <pivotField showAll="0"/>
    <pivotField showAll="0">
      <items count="5">
        <item x="2"/>
        <item x="3"/>
        <item x="0"/>
        <item x="1"/>
        <item t="default"/>
      </items>
    </pivotField>
    <pivotField dataField="1"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Average of Amount" fld="9" subtotal="average" baseField="0" baseItem="0" numFmtId="164"/>
  </dataFields>
  <formats count="3">
    <format dxfId="76">
      <pivotArea type="all" dataOnly="0" outline="0" fieldPosition="0"/>
    </format>
    <format dxfId="75">
      <pivotArea outline="0" collapsedLevelsAreSubtotals="1" fieldPosition="0"/>
    </format>
    <format dxfId="7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EADB5DD-82E2-4DC6-87B3-25D4AA0D8E2C}" name="Reg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Region">
  <location ref="H3:I8" firstHeaderRow="1" firstDataRow="1" firstDataCol="1"/>
  <pivotFields count="13">
    <pivotField showAll="0"/>
    <pivotField numFmtId="14" showAll="0">
      <items count="159">
        <item x="0"/>
        <item x="1"/>
        <item x="2"/>
        <item x="3"/>
        <item x="4"/>
        <item x="5"/>
        <item x="6"/>
        <item x="7"/>
        <item x="8"/>
        <item x="9"/>
        <item x="10"/>
        <item x="11"/>
        <item x="12"/>
        <item x="14"/>
        <item x="13"/>
        <item x="15"/>
        <item x="16"/>
        <item x="17"/>
        <item x="18"/>
        <item x="22"/>
        <item x="23"/>
        <item x="24"/>
        <item x="25"/>
        <item x="26"/>
        <item x="27"/>
        <item x="28"/>
        <item x="19"/>
        <item x="29"/>
        <item x="30"/>
        <item x="31"/>
        <item x="32"/>
        <item x="20"/>
        <item x="33"/>
        <item x="34"/>
        <item x="21"/>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t="default"/>
      </items>
    </pivotField>
    <pivotField showAll="0">
      <items count="8">
        <item x="5"/>
        <item x="2"/>
        <item x="3"/>
        <item x="1"/>
        <item x="0"/>
        <item x="6"/>
        <item x="4"/>
        <item t="default"/>
      </items>
    </pivotField>
    <pivotField showAll="0">
      <items count="3">
        <item x="1"/>
        <item x="0"/>
        <item t="default"/>
      </items>
    </pivotField>
    <pivotField showAll="0">
      <items count="9">
        <item h="1" x="4"/>
        <item h="1" x="2"/>
        <item h="1" x="7"/>
        <item h="1" x="6"/>
        <item x="3"/>
        <item h="1" x="5"/>
        <item h="1" x="1"/>
        <item h="1" x="0"/>
        <item t="default"/>
      </items>
    </pivotField>
    <pivotField axis="axisRow" showAll="0">
      <items count="5">
        <item x="1"/>
        <item x="2"/>
        <item x="0"/>
        <item x="3"/>
        <item t="default"/>
      </items>
    </pivotField>
    <pivotField showAll="0"/>
    <pivotField showAll="0"/>
    <pivotField showAll="0">
      <items count="5">
        <item x="2"/>
        <item x="3"/>
        <item x="0"/>
        <item x="1"/>
        <item t="default"/>
      </items>
    </pivotField>
    <pivotField dataField="1"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5"/>
  </rowFields>
  <rowItems count="5">
    <i>
      <x/>
    </i>
    <i>
      <x v="1"/>
    </i>
    <i>
      <x v="2"/>
    </i>
    <i>
      <x v="3"/>
    </i>
    <i t="grand">
      <x/>
    </i>
  </rowItems>
  <colItems count="1">
    <i/>
  </colItems>
  <dataFields count="1">
    <dataField name="T Region" fld="9" baseField="0" baseItem="0" numFmtId="164"/>
  </dataFields>
  <chartFormats count="10">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5" count="1" selected="0">
            <x v="0"/>
          </reference>
        </references>
      </pivotArea>
    </chartFormat>
    <chartFormat chart="3" format="8">
      <pivotArea type="data" outline="0" fieldPosition="0">
        <references count="2">
          <reference field="4294967294" count="1" selected="0">
            <x v="0"/>
          </reference>
          <reference field="5" count="1" selected="0">
            <x v="1"/>
          </reference>
        </references>
      </pivotArea>
    </chartFormat>
    <chartFormat chart="3" format="9">
      <pivotArea type="data" outline="0" fieldPosition="0">
        <references count="2">
          <reference field="4294967294" count="1" selected="0">
            <x v="0"/>
          </reference>
          <reference field="5" count="1" selected="0">
            <x v="2"/>
          </reference>
        </references>
      </pivotArea>
    </chartFormat>
    <chartFormat chart="3" format="10">
      <pivotArea type="data" outline="0" fieldPosition="0">
        <references count="2">
          <reference field="4294967294" count="1" selected="0">
            <x v="0"/>
          </reference>
          <reference field="5" count="1" selected="0">
            <x v="3"/>
          </reference>
        </references>
      </pivotArea>
    </chartFormat>
    <chartFormat chart="8" format="16" series="1">
      <pivotArea type="data" outline="0" fieldPosition="0">
        <references count="1">
          <reference field="4294967294" count="1" selected="0">
            <x v="0"/>
          </reference>
        </references>
      </pivotArea>
    </chartFormat>
    <chartFormat chart="8" format="17">
      <pivotArea type="data" outline="0" fieldPosition="0">
        <references count="2">
          <reference field="4294967294" count="1" selected="0">
            <x v="0"/>
          </reference>
          <reference field="5" count="1" selected="0">
            <x v="0"/>
          </reference>
        </references>
      </pivotArea>
    </chartFormat>
    <chartFormat chart="8" format="18">
      <pivotArea type="data" outline="0" fieldPosition="0">
        <references count="2">
          <reference field="4294967294" count="1" selected="0">
            <x v="0"/>
          </reference>
          <reference field="5" count="1" selected="0">
            <x v="1"/>
          </reference>
        </references>
      </pivotArea>
    </chartFormat>
    <chartFormat chart="8" format="19">
      <pivotArea type="data" outline="0" fieldPosition="0">
        <references count="2">
          <reference field="4294967294" count="1" selected="0">
            <x v="0"/>
          </reference>
          <reference field="5" count="1" selected="0">
            <x v="2"/>
          </reference>
        </references>
      </pivotArea>
    </chartFormat>
    <chartFormat chart="8" format="20">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5DB1127-8BEB-4576-B216-6520AA8F6731}" name="T Count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ountry">
  <location ref="A3:C5" firstHeaderRow="0" firstDataRow="1" firstDataCol="1" rowPageCount="1" colPageCount="1"/>
  <pivotFields count="13">
    <pivotField showAll="0"/>
    <pivotField numFmtId="14" showAll="0">
      <items count="159">
        <item x="0"/>
        <item x="1"/>
        <item x="2"/>
        <item x="3"/>
        <item x="4"/>
        <item x="5"/>
        <item x="6"/>
        <item x="7"/>
        <item x="8"/>
        <item x="9"/>
        <item x="10"/>
        <item x="11"/>
        <item x="12"/>
        <item x="14"/>
        <item x="13"/>
        <item x="15"/>
        <item x="16"/>
        <item x="17"/>
        <item x="18"/>
        <item x="22"/>
        <item x="23"/>
        <item x="24"/>
        <item x="25"/>
        <item x="26"/>
        <item x="27"/>
        <item x="28"/>
        <item x="19"/>
        <item x="29"/>
        <item x="30"/>
        <item x="31"/>
        <item x="32"/>
        <item x="20"/>
        <item x="33"/>
        <item x="34"/>
        <item x="21"/>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t="default"/>
      </items>
    </pivotField>
    <pivotField showAll="0">
      <items count="8">
        <item x="5"/>
        <item x="2"/>
        <item x="3"/>
        <item x="1"/>
        <item x="0"/>
        <item x="6"/>
        <item x="4"/>
        <item t="default"/>
      </items>
    </pivotField>
    <pivotField axis="axisPage" showAll="0">
      <items count="3">
        <item x="1"/>
        <item x="0"/>
        <item t="default"/>
      </items>
    </pivotField>
    <pivotField axis="axisRow" showAll="0">
      <items count="9">
        <item h="1" x="4"/>
        <item h="1" x="2"/>
        <item h="1" x="6"/>
        <item x="3"/>
        <item h="1" x="5"/>
        <item h="1" x="1"/>
        <item h="1" x="0"/>
        <item h="1" x="7"/>
        <item t="default"/>
      </items>
    </pivotField>
    <pivotField showAll="0">
      <items count="5">
        <item x="1"/>
        <item x="2"/>
        <item x="0"/>
        <item x="3"/>
        <item t="default"/>
      </items>
    </pivotField>
    <pivotField showAll="0"/>
    <pivotField showAll="0"/>
    <pivotField showAll="0">
      <items count="5">
        <item x="2"/>
        <item x="3"/>
        <item x="0"/>
        <item x="1"/>
        <item t="default"/>
      </items>
    </pivotField>
    <pivotField dataField="1"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4"/>
  </rowFields>
  <rowItems count="2">
    <i>
      <x v="3"/>
    </i>
    <i t="grand">
      <x/>
    </i>
  </rowItems>
  <colFields count="1">
    <field x="-2"/>
  </colFields>
  <colItems count="2">
    <i>
      <x/>
    </i>
    <i i="1">
      <x v="1"/>
    </i>
  </colItems>
  <pageFields count="1">
    <pageField fld="3" hier="-1"/>
  </pageFields>
  <dataFields count="2">
    <dataField name="Total Amount" fld="9" baseField="4" baseItem="0" numFmtId="164"/>
    <dataField name="Avg Amount" fld="9" subtotal="average"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280F94C-5206-43ED-9329-48B299DE26BB}" name="T Pro"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rowHeaderCaption="Pro">
  <location ref="E3:F11" firstHeaderRow="1" firstDataRow="1" firstDataCol="1" rowPageCount="1" colPageCount="1"/>
  <pivotFields count="13">
    <pivotField showAll="0"/>
    <pivotField numFmtId="14" showAll="0">
      <items count="159">
        <item x="0"/>
        <item x="1"/>
        <item x="2"/>
        <item x="3"/>
        <item x="4"/>
        <item x="5"/>
        <item x="6"/>
        <item x="7"/>
        <item x="8"/>
        <item x="9"/>
        <item x="10"/>
        <item x="11"/>
        <item x="12"/>
        <item x="14"/>
        <item x="13"/>
        <item x="15"/>
        <item x="16"/>
        <item x="17"/>
        <item x="18"/>
        <item x="22"/>
        <item x="23"/>
        <item x="24"/>
        <item x="25"/>
        <item x="26"/>
        <item x="27"/>
        <item x="28"/>
        <item x="19"/>
        <item x="29"/>
        <item x="30"/>
        <item x="31"/>
        <item x="32"/>
        <item x="20"/>
        <item x="33"/>
        <item x="34"/>
        <item x="21"/>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t="default"/>
      </items>
    </pivotField>
    <pivotField axis="axisRow" showAll="0">
      <items count="8">
        <item x="5"/>
        <item x="2"/>
        <item x="3"/>
        <item x="1"/>
        <item x="0"/>
        <item x="6"/>
        <item x="4"/>
        <item t="default"/>
      </items>
    </pivotField>
    <pivotField axis="axisPage" showAll="0">
      <items count="3">
        <item x="1"/>
        <item x="0"/>
        <item t="default"/>
      </items>
    </pivotField>
    <pivotField showAll="0">
      <items count="9">
        <item h="1" x="4"/>
        <item h="1" x="2"/>
        <item h="1" x="7"/>
        <item h="1" x="6"/>
        <item x="3"/>
        <item h="1" x="5"/>
        <item h="1" x="1"/>
        <item h="1" x="0"/>
        <item t="default"/>
      </items>
    </pivotField>
    <pivotField showAll="0">
      <items count="5">
        <item x="1"/>
        <item x="2"/>
        <item x="0"/>
        <item x="3"/>
        <item t="default"/>
      </items>
    </pivotField>
    <pivotField showAll="0"/>
    <pivotField showAll="0"/>
    <pivotField showAll="0">
      <items count="5">
        <item x="2"/>
        <item x="3"/>
        <item x="0"/>
        <item x="1"/>
        <item t="default"/>
      </items>
    </pivotField>
    <pivotField dataField="1"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
  </rowFields>
  <rowItems count="8">
    <i>
      <x/>
    </i>
    <i>
      <x v="1"/>
    </i>
    <i>
      <x v="2"/>
    </i>
    <i>
      <x v="3"/>
    </i>
    <i>
      <x v="4"/>
    </i>
    <i>
      <x v="5"/>
    </i>
    <i>
      <x v="6"/>
    </i>
    <i t="grand">
      <x/>
    </i>
  </rowItems>
  <colItems count="1">
    <i/>
  </colItems>
  <pageFields count="1">
    <pageField fld="3" hier="-1"/>
  </pageFields>
  <dataFields count="1">
    <dataField name=" T Amount" fld="9" baseField="0" baseItem="0" numFmtId="164"/>
  </dataFields>
  <chartFormats count="4">
    <chartFormat chart="6" format="2"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7" format="4" series="1">
      <pivotArea type="data" outline="0" fieldPosition="0">
        <references count="1">
          <reference field="4294967294" count="1" selected="0">
            <x v="0"/>
          </reference>
        </references>
      </pivotArea>
    </chartFormat>
    <chartFormat chart="1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D56A8BE-76F6-42EC-8313-D4C4F1533886}" name="t Month"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Month">
  <location ref="M14:N26" firstHeaderRow="1" firstDataRow="1" firstDataCol="1"/>
  <pivotFields count="13">
    <pivotField showAll="0"/>
    <pivotField numFmtId="14" showAll="0">
      <items count="159">
        <item x="0"/>
        <item x="1"/>
        <item x="2"/>
        <item x="3"/>
        <item x="4"/>
        <item x="5"/>
        <item x="6"/>
        <item x="7"/>
        <item x="8"/>
        <item x="9"/>
        <item x="10"/>
        <item x="11"/>
        <item x="12"/>
        <item x="14"/>
        <item x="13"/>
        <item x="15"/>
        <item x="16"/>
        <item x="17"/>
        <item x="18"/>
        <item x="22"/>
        <item x="23"/>
        <item x="24"/>
        <item x="25"/>
        <item x="26"/>
        <item x="27"/>
        <item x="28"/>
        <item x="19"/>
        <item x="29"/>
        <item x="30"/>
        <item x="31"/>
        <item x="32"/>
        <item x="20"/>
        <item x="33"/>
        <item x="34"/>
        <item x="21"/>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t="default"/>
      </items>
    </pivotField>
    <pivotField showAll="0">
      <items count="8">
        <item x="5"/>
        <item x="2"/>
        <item x="3"/>
        <item x="1"/>
        <item x="0"/>
        <item x="6"/>
        <item x="4"/>
        <item t="default"/>
      </items>
    </pivotField>
    <pivotField showAll="0">
      <items count="3">
        <item x="1"/>
        <item x="0"/>
        <item t="default"/>
      </items>
    </pivotField>
    <pivotField showAll="0">
      <items count="9">
        <item h="1" x="4"/>
        <item h="1" x="2"/>
        <item h="1" x="7"/>
        <item h="1" x="6"/>
        <item x="3"/>
        <item h="1" x="5"/>
        <item h="1" x="1"/>
        <item h="1" x="0"/>
        <item t="default"/>
      </items>
    </pivotField>
    <pivotField showAll="0">
      <items count="5">
        <item x="1"/>
        <item x="2"/>
        <item x="0"/>
        <item x="3"/>
        <item t="default"/>
      </items>
    </pivotField>
    <pivotField axis="axisRow" showAll="0">
      <items count="14">
        <item x="6"/>
        <item x="7"/>
        <item x="8"/>
        <item x="9"/>
        <item x="10"/>
        <item x="11"/>
        <item x="0"/>
        <item x="1"/>
        <item x="2"/>
        <item x="3"/>
        <item x="4"/>
        <item x="5"/>
        <item x="12"/>
        <item t="default"/>
      </items>
    </pivotField>
    <pivotField showAll="0"/>
    <pivotField showAll="0">
      <items count="5">
        <item x="2"/>
        <item x="3"/>
        <item x="0"/>
        <item x="1"/>
        <item t="default"/>
      </items>
    </pivotField>
    <pivotField dataField="1"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x="3"/>
        <item sd="0" x="4"/>
        <item x="5"/>
        <item t="default"/>
      </items>
    </pivotField>
    <pivotField showAll="0">
      <items count="5">
        <item sd="0" x="0"/>
        <item x="1"/>
        <item x="2"/>
        <item x="3"/>
        <item t="default"/>
      </items>
    </pivotField>
  </pivotFields>
  <rowFields count="1">
    <field x="6"/>
  </rowFields>
  <rowItems count="12">
    <i>
      <x/>
    </i>
    <i>
      <x v="1"/>
    </i>
    <i>
      <x v="2"/>
    </i>
    <i>
      <x v="3"/>
    </i>
    <i>
      <x v="4"/>
    </i>
    <i>
      <x v="5"/>
    </i>
    <i>
      <x v="6"/>
    </i>
    <i>
      <x v="7"/>
    </i>
    <i>
      <x v="8"/>
    </i>
    <i>
      <x v="9"/>
    </i>
    <i>
      <x v="10"/>
    </i>
    <i t="grand">
      <x/>
    </i>
  </rowItems>
  <colItems count="1">
    <i/>
  </colItems>
  <dataFields count="1">
    <dataField name="T Month" fld="9" baseField="0" baseItem="0" numFmtId="164"/>
  </dataFields>
  <chartFormats count="2">
    <chartFormat chart="3" format="2"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E6E1842-355F-4570-8B65-95E9BFF66089}" name="country by reg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rowHeaderCaption="Country" colHeaderCaption="Cat">
  <location ref="H14:K17" firstHeaderRow="1" firstDataRow="2" firstDataCol="1"/>
  <pivotFields count="13">
    <pivotField showAll="0"/>
    <pivotField numFmtId="14" showAll="0">
      <items count="159">
        <item x="0"/>
        <item x="1"/>
        <item x="2"/>
        <item x="3"/>
        <item x="4"/>
        <item x="5"/>
        <item x="6"/>
        <item x="7"/>
        <item x="8"/>
        <item x="9"/>
        <item x="10"/>
        <item x="11"/>
        <item x="12"/>
        <item x="14"/>
        <item x="13"/>
        <item x="15"/>
        <item x="16"/>
        <item x="17"/>
        <item x="18"/>
        <item x="22"/>
        <item x="23"/>
        <item x="24"/>
        <item x="25"/>
        <item x="26"/>
        <item x="27"/>
        <item x="28"/>
        <item x="19"/>
        <item x="29"/>
        <item x="30"/>
        <item x="31"/>
        <item x="32"/>
        <item x="20"/>
        <item x="33"/>
        <item x="34"/>
        <item x="21"/>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t="default"/>
      </items>
    </pivotField>
    <pivotField showAll="0">
      <items count="8">
        <item x="5"/>
        <item x="2"/>
        <item x="3"/>
        <item x="1"/>
        <item x="0"/>
        <item x="6"/>
        <item x="4"/>
        <item t="default"/>
      </items>
    </pivotField>
    <pivotField axis="axisCol" showAll="0">
      <items count="3">
        <item x="1"/>
        <item x="0"/>
        <item t="default"/>
      </items>
    </pivotField>
    <pivotField axis="axisRow" showAll="0">
      <items count="9">
        <item h="1" x="4"/>
        <item h="1" x="2"/>
        <item h="1" x="6"/>
        <item x="3"/>
        <item h="1" x="5"/>
        <item h="1" x="1"/>
        <item h="1" x="0"/>
        <item h="1" x="7"/>
        <item t="default"/>
      </items>
    </pivotField>
    <pivotField showAll="0">
      <items count="5">
        <item x="1"/>
        <item x="2"/>
        <item x="0"/>
        <item x="3"/>
        <item t="default"/>
      </items>
    </pivotField>
    <pivotField showAll="0"/>
    <pivotField showAll="0"/>
    <pivotField showAll="0">
      <items count="5">
        <item x="2"/>
        <item x="3"/>
        <item x="0"/>
        <item x="1"/>
        <item t="default"/>
      </items>
    </pivotField>
    <pivotField dataField="1"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4"/>
  </rowFields>
  <rowItems count="2">
    <i>
      <x v="3"/>
    </i>
    <i t="grand">
      <x/>
    </i>
  </rowItems>
  <colFields count="1">
    <field x="3"/>
  </colFields>
  <colItems count="3">
    <i>
      <x/>
    </i>
    <i>
      <x v="1"/>
    </i>
    <i t="grand">
      <x/>
    </i>
  </colItems>
  <dataFields count="1">
    <dataField name="TS" fld="9" baseField="0" baseItem="0" numFmtId="164"/>
  </dataFields>
  <formats count="3">
    <format dxfId="79">
      <pivotArea outline="0" collapsedLevelsAreSubtotals="1" fieldPosition="0"/>
    </format>
    <format dxfId="78">
      <pivotArea dataOnly="0" labelOnly="1" fieldPosition="0">
        <references count="1">
          <reference field="3" count="0"/>
        </references>
      </pivotArea>
    </format>
    <format dxfId="77">
      <pivotArea dataOnly="0" labelOnly="1" grandCol="1" outline="0" fieldPosition="0"/>
    </format>
  </formats>
  <chartFormats count="8">
    <chartFormat chart="12" format="10" series="1">
      <pivotArea type="data" outline="0" fieldPosition="0">
        <references count="2">
          <reference field="4294967294" count="1" selected="0">
            <x v="0"/>
          </reference>
          <reference field="3" count="1" selected="0">
            <x v="0"/>
          </reference>
        </references>
      </pivotArea>
    </chartFormat>
    <chartFormat chart="12" format="11" series="1">
      <pivotArea type="data" outline="0" fieldPosition="0">
        <references count="2">
          <reference field="4294967294" count="1" selected="0">
            <x v="0"/>
          </reference>
          <reference field="3" count="1" selected="0">
            <x v="1"/>
          </reference>
        </references>
      </pivotArea>
    </chartFormat>
    <chartFormat chart="20" format="6" series="1">
      <pivotArea type="data" outline="0" fieldPosition="0">
        <references count="2">
          <reference field="4294967294" count="1" selected="0">
            <x v="0"/>
          </reference>
          <reference field="3" count="1" selected="0">
            <x v="0"/>
          </reference>
        </references>
      </pivotArea>
    </chartFormat>
    <chartFormat chart="20" format="7" series="1">
      <pivotArea type="data" outline="0" fieldPosition="0">
        <references count="2">
          <reference field="4294967294" count="1" selected="0">
            <x v="0"/>
          </reference>
          <reference field="3" count="1" selected="0">
            <x v="1"/>
          </reference>
        </references>
      </pivotArea>
    </chartFormat>
    <chartFormat chart="20" format="8">
      <pivotArea type="data" outline="0" fieldPosition="0">
        <references count="3">
          <reference field="4294967294" count="1" selected="0">
            <x v="0"/>
          </reference>
          <reference field="3" count="1" selected="0">
            <x v="1"/>
          </reference>
          <reference field="4" count="1" selected="0">
            <x v="4"/>
          </reference>
        </references>
      </pivotArea>
    </chartFormat>
    <chartFormat chart="24" format="12" series="1">
      <pivotArea type="data" outline="0" fieldPosition="0">
        <references count="2">
          <reference field="4294967294" count="1" selected="0">
            <x v="0"/>
          </reference>
          <reference field="3" count="1" selected="0">
            <x v="0"/>
          </reference>
        </references>
      </pivotArea>
    </chartFormat>
    <chartFormat chart="24" format="13" series="1">
      <pivotArea type="data" outline="0" fieldPosition="0">
        <references count="2">
          <reference field="4294967294" count="1" selected="0">
            <x v="0"/>
          </reference>
          <reference field="3" count="1" selected="0">
            <x v="1"/>
          </reference>
        </references>
      </pivotArea>
    </chartFormat>
    <chartFormat chart="24" format="14">
      <pivotArea type="data" outline="0" fieldPosition="0">
        <references count="3">
          <reference field="4294967294" count="1" selected="0">
            <x v="0"/>
          </reference>
          <reference field="3" count="1" selected="0">
            <x v="1"/>
          </reference>
          <reference field="4" count="1" selected="0">
            <x v="4"/>
          </reference>
        </references>
      </pivotArea>
    </chartFormat>
  </chartFormats>
  <pivotTableStyleInfo name="PivotStyleLight13" showRowHeaders="1" showColHeaders="1" showRowStripes="1"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D9C263E-8666-4AB9-921A-A66F3BBFF869}" name="No of Orders by reg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Region">
  <location ref="K3:L8" firstHeaderRow="1" firstDataRow="1" firstDataCol="1"/>
  <pivotFields count="13">
    <pivotField dataField="1" showAll="0"/>
    <pivotField numFmtId="14" showAll="0">
      <items count="159">
        <item x="0"/>
        <item x="1"/>
        <item x="2"/>
        <item x="3"/>
        <item x="4"/>
        <item x="5"/>
        <item x="6"/>
        <item x="7"/>
        <item x="8"/>
        <item x="9"/>
        <item x="10"/>
        <item x="11"/>
        <item x="12"/>
        <item x="14"/>
        <item x="13"/>
        <item x="15"/>
        <item x="16"/>
        <item x="17"/>
        <item x="18"/>
        <item x="22"/>
        <item x="23"/>
        <item x="24"/>
        <item x="25"/>
        <item x="26"/>
        <item x="27"/>
        <item x="28"/>
        <item x="19"/>
        <item x="29"/>
        <item x="30"/>
        <item x="31"/>
        <item x="32"/>
        <item x="20"/>
        <item x="33"/>
        <item x="34"/>
        <item x="21"/>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t="default"/>
      </items>
    </pivotField>
    <pivotField showAll="0">
      <items count="8">
        <item x="5"/>
        <item x="2"/>
        <item x="3"/>
        <item x="1"/>
        <item x="0"/>
        <item x="6"/>
        <item x="4"/>
        <item t="default"/>
      </items>
    </pivotField>
    <pivotField showAll="0">
      <items count="3">
        <item x="1"/>
        <item x="0"/>
        <item t="default"/>
      </items>
    </pivotField>
    <pivotField showAll="0">
      <items count="9">
        <item h="1" x="4"/>
        <item h="1" x="2"/>
        <item h="1" x="7"/>
        <item h="1" x="6"/>
        <item x="3"/>
        <item h="1" x="5"/>
        <item h="1" x="1"/>
        <item h="1" x="0"/>
        <item t="default"/>
      </items>
    </pivotField>
    <pivotField axis="axisRow" showAll="0">
      <items count="5">
        <item x="1"/>
        <item x="2"/>
        <item x="0"/>
        <item x="3"/>
        <item t="default"/>
      </items>
    </pivotField>
    <pivotField showAll="0"/>
    <pivotField showAll="0"/>
    <pivotField showAll="0">
      <items count="5">
        <item x="2"/>
        <item x="3"/>
        <item x="0"/>
        <item x="1"/>
        <item t="default"/>
      </items>
    </pivotField>
    <pivotField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5"/>
  </rowFields>
  <rowItems count="5">
    <i>
      <x/>
    </i>
    <i>
      <x v="1"/>
    </i>
    <i>
      <x v="2"/>
    </i>
    <i>
      <x v="3"/>
    </i>
    <i t="grand">
      <x/>
    </i>
  </rowItems>
  <colItems count="1">
    <i/>
  </colItems>
  <dataFields count="1">
    <dataField name="No of Orders"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E273F3E-E376-4D8A-8E5E-EA6814C09FF6}"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at">
  <location ref="A20:B23" firstHeaderRow="1" firstDataRow="1" firstDataCol="1"/>
  <pivotFields count="13">
    <pivotField showAll="0"/>
    <pivotField numFmtId="14" showAll="0">
      <items count="159">
        <item x="0"/>
        <item x="1"/>
        <item x="2"/>
        <item x="3"/>
        <item x="4"/>
        <item x="5"/>
        <item x="6"/>
        <item x="7"/>
        <item x="8"/>
        <item x="9"/>
        <item x="10"/>
        <item x="11"/>
        <item x="12"/>
        <item x="14"/>
        <item x="13"/>
        <item x="15"/>
        <item x="16"/>
        <item x="17"/>
        <item x="18"/>
        <item x="22"/>
        <item x="23"/>
        <item x="24"/>
        <item x="25"/>
        <item x="26"/>
        <item x="27"/>
        <item x="28"/>
        <item x="19"/>
        <item x="29"/>
        <item x="30"/>
        <item x="31"/>
        <item x="32"/>
        <item x="20"/>
        <item x="33"/>
        <item x="34"/>
        <item x="21"/>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t="default"/>
      </items>
    </pivotField>
    <pivotField showAll="0">
      <items count="8">
        <item x="5"/>
        <item x="2"/>
        <item x="3"/>
        <item x="1"/>
        <item x="0"/>
        <item x="6"/>
        <item x="4"/>
        <item t="default"/>
      </items>
    </pivotField>
    <pivotField axis="axisRow" showAll="0">
      <items count="3">
        <item x="1"/>
        <item x="0"/>
        <item t="default"/>
      </items>
    </pivotField>
    <pivotField showAll="0">
      <items count="9">
        <item h="1" x="4"/>
        <item h="1" x="2"/>
        <item h="1" x="7"/>
        <item h="1" x="6"/>
        <item x="3"/>
        <item h="1" x="5"/>
        <item h="1" x="1"/>
        <item h="1" x="0"/>
        <item t="default"/>
      </items>
    </pivotField>
    <pivotField showAll="0">
      <items count="5">
        <item x="1"/>
        <item x="2"/>
        <item x="0"/>
        <item x="3"/>
        <item t="default"/>
      </items>
    </pivotField>
    <pivotField showAll="0"/>
    <pivotField showAll="0"/>
    <pivotField showAll="0">
      <items count="5">
        <item x="2"/>
        <item x="3"/>
        <item x="0"/>
        <item x="1"/>
        <item t="default"/>
      </items>
    </pivotField>
    <pivotField dataField="1"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3">
    <i>
      <x/>
    </i>
    <i>
      <x v="1"/>
    </i>
    <i t="grand">
      <x/>
    </i>
  </rowItems>
  <colItems count="1">
    <i/>
  </colItems>
  <dataFields count="1">
    <dataField name="% Sales" fld="9"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BFB0389-E3B3-4B13-A3EC-AC6DC0A8DB3A}" name="No of pro"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
  <location ref="E14:F22" firstHeaderRow="1" firstDataRow="1" firstDataCol="1"/>
  <pivotFields count="13">
    <pivotField showAll="0"/>
    <pivotField numFmtId="14" showAll="0">
      <items count="159">
        <item x="0"/>
        <item x="1"/>
        <item x="2"/>
        <item x="3"/>
        <item x="4"/>
        <item x="5"/>
        <item x="6"/>
        <item x="7"/>
        <item x="8"/>
        <item x="9"/>
        <item x="10"/>
        <item x="11"/>
        <item x="12"/>
        <item x="14"/>
        <item x="13"/>
        <item x="15"/>
        <item x="16"/>
        <item x="17"/>
        <item x="18"/>
        <item x="22"/>
        <item x="23"/>
        <item x="24"/>
        <item x="25"/>
        <item x="26"/>
        <item x="27"/>
        <item x="28"/>
        <item x="19"/>
        <item x="29"/>
        <item x="30"/>
        <item x="31"/>
        <item x="32"/>
        <item x="20"/>
        <item x="33"/>
        <item x="34"/>
        <item x="21"/>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t="default"/>
      </items>
    </pivotField>
    <pivotField axis="axisRow" showAll="0">
      <items count="8">
        <item x="5"/>
        <item x="2"/>
        <item x="3"/>
        <item x="1"/>
        <item x="0"/>
        <item x="6"/>
        <item x="4"/>
        <item t="default"/>
      </items>
    </pivotField>
    <pivotField showAll="0">
      <items count="3">
        <item x="1"/>
        <item x="0"/>
        <item t="default"/>
      </items>
    </pivotField>
    <pivotField showAll="0">
      <items count="9">
        <item h="1" x="4"/>
        <item h="1" x="2"/>
        <item h="1" x="7"/>
        <item h="1" x="6"/>
        <item x="3"/>
        <item h="1" x="5"/>
        <item h="1" x="1"/>
        <item h="1" x="0"/>
        <item t="default"/>
      </items>
    </pivotField>
    <pivotField showAll="0">
      <items count="5">
        <item x="1"/>
        <item x="2"/>
        <item x="0"/>
        <item x="3"/>
        <item t="default"/>
      </items>
    </pivotField>
    <pivotField showAll="0"/>
    <pivotField showAll="0"/>
    <pivotField showAll="0">
      <items count="5">
        <item x="2"/>
        <item x="3"/>
        <item x="0"/>
        <item x="1"/>
        <item t="default"/>
      </items>
    </pivotField>
    <pivotField dataField="1"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
  </rowFields>
  <rowItems count="8">
    <i>
      <x/>
    </i>
    <i>
      <x v="1"/>
    </i>
    <i>
      <x v="2"/>
    </i>
    <i>
      <x v="3"/>
    </i>
    <i>
      <x v="4"/>
    </i>
    <i>
      <x v="5"/>
    </i>
    <i>
      <x v="6"/>
    </i>
    <i t="grand">
      <x/>
    </i>
  </rowItems>
  <colItems count="1">
    <i/>
  </colItems>
  <dataFields count="1">
    <dataField name="No of Products" fld="9"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D5FD0D94-EF0F-4673-A345-57209BBF5E81}" name="PivotTable14" cacheId="0" applyNumberFormats="0" applyBorderFormats="0" applyFontFormats="0" applyPatternFormats="0" applyAlignmentFormats="0" applyWidthHeightFormats="1" dataCaption="Values" updatedVersion="8" minRefreshableVersion="3" useAutoFormatting="1" itemPrintTitles="1" createdVersion="8" indent="0" compact="0" outline="1" outlineData="1" compactData="0" multipleFieldFilters="0" rowHeaderCaption="Cat">
  <location ref="A3:H18" firstHeaderRow="1" firstDataRow="2" firstDataCol="3"/>
  <pivotFields count="13">
    <pivotField compact="0" subtotalTop="0" showAll="0"/>
    <pivotField compact="0" numFmtId="14" subtotalTop="0" showAll="0">
      <items count="159">
        <item x="0"/>
        <item x="1"/>
        <item x="2"/>
        <item x="3"/>
        <item x="4"/>
        <item x="5"/>
        <item x="6"/>
        <item x="7"/>
        <item x="8"/>
        <item x="9"/>
        <item x="10"/>
        <item x="11"/>
        <item x="12"/>
        <item x="14"/>
        <item x="13"/>
        <item x="15"/>
        <item x="16"/>
        <item x="17"/>
        <item x="18"/>
        <item x="22"/>
        <item x="23"/>
        <item x="24"/>
        <item x="25"/>
        <item x="26"/>
        <item x="27"/>
        <item x="28"/>
        <item x="19"/>
        <item x="29"/>
        <item x="30"/>
        <item x="31"/>
        <item x="32"/>
        <item x="20"/>
        <item x="33"/>
        <item x="34"/>
        <item x="21"/>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t="default"/>
      </items>
    </pivotField>
    <pivotField axis="axisRow" compact="0" subtotalTop="0" showAll="0">
      <items count="8">
        <item x="5"/>
        <item x="2"/>
        <item x="3"/>
        <item x="1"/>
        <item x="0"/>
        <item x="6"/>
        <item x="4"/>
        <item t="default"/>
      </items>
    </pivotField>
    <pivotField axis="axisRow" compact="0" subtotalTop="0" showAll="0">
      <items count="3">
        <item x="1"/>
        <item x="0"/>
        <item t="default"/>
      </items>
    </pivotField>
    <pivotField axis="axisRow" compact="0" subtotalTop="0" showAll="0">
      <items count="9">
        <item h="1" x="4"/>
        <item h="1" sd="0" x="2"/>
        <item h="1" sd="0" x="6"/>
        <item x="3"/>
        <item h="1" x="5"/>
        <item h="1" x="1"/>
        <item h="1" x="0"/>
        <item h="1" x="7"/>
        <item t="default"/>
      </items>
    </pivotField>
    <pivotField axis="axisCol" compact="0" subtotalTop="0" showAll="0">
      <items count="5">
        <item x="1"/>
        <item x="2"/>
        <item x="0"/>
        <item x="3"/>
        <item t="default"/>
      </items>
    </pivotField>
    <pivotField compact="0" subtotalTop="0" showAll="0"/>
    <pivotField compact="0" subtotalTop="0" showAll="0"/>
    <pivotField compact="0" subtotalTop="0" showAll="0">
      <items count="5">
        <item x="2"/>
        <item x="3"/>
        <item x="0"/>
        <item x="1"/>
        <item t="default"/>
      </items>
    </pivotField>
    <pivotField dataField="1" compact="0" numFmtId="164" subtotalTop="0" showAll="0"/>
    <pivotField compact="0" subtotalTop="0" showAll="0">
      <items count="15">
        <item x="0"/>
        <item x="1"/>
        <item x="2"/>
        <item x="3"/>
        <item x="4"/>
        <item x="5"/>
        <item x="6"/>
        <item x="7"/>
        <item x="8"/>
        <item x="9"/>
        <item x="10"/>
        <item x="11"/>
        <item x="12"/>
        <item x="13"/>
        <item t="default"/>
      </items>
    </pivotField>
    <pivotField compact="0" subtotalTop="0" showAll="0">
      <items count="7">
        <item x="0"/>
        <item x="1"/>
        <item x="2"/>
        <item x="3"/>
        <item x="4"/>
        <item x="5"/>
        <item t="default"/>
      </items>
    </pivotField>
    <pivotField compact="0" subtotalTop="0" showAll="0">
      <items count="5">
        <item x="0"/>
        <item x="1"/>
        <item x="2"/>
        <item x="3"/>
        <item t="default"/>
      </items>
    </pivotField>
  </pivotFields>
  <rowFields count="3">
    <field x="4"/>
    <field x="3"/>
    <field x="2"/>
  </rowFields>
  <rowItems count="14">
    <i>
      <x v="3"/>
    </i>
    <i r="1">
      <x/>
    </i>
    <i r="2">
      <x/>
    </i>
    <i r="2">
      <x v="1"/>
    </i>
    <i r="2">
      <x v="5"/>
    </i>
    <i r="2">
      <x v="6"/>
    </i>
    <i t="default" r="1">
      <x/>
    </i>
    <i r="1">
      <x v="1"/>
    </i>
    <i r="2">
      <x v="2"/>
    </i>
    <i r="2">
      <x v="3"/>
    </i>
    <i r="2">
      <x v="4"/>
    </i>
    <i t="default" r="1">
      <x v="1"/>
    </i>
    <i t="default">
      <x v="3"/>
    </i>
    <i t="grand">
      <x/>
    </i>
  </rowItems>
  <colFields count="1">
    <field x="5"/>
  </colFields>
  <colItems count="5">
    <i>
      <x/>
    </i>
    <i>
      <x v="1"/>
    </i>
    <i>
      <x v="2"/>
    </i>
    <i>
      <x v="3"/>
    </i>
    <i t="grand">
      <x/>
    </i>
  </colItems>
  <dataFields count="1">
    <dataField name="Sum of Amount" fld="9" baseField="0" baseItem="0" numFmtId="164"/>
  </dataFields>
  <formats count="10">
    <format dxfId="70">
      <pivotArea type="origin" dataOnly="0" labelOnly="1" outline="0" fieldPosition="0"/>
    </format>
    <format dxfId="69">
      <pivotArea field="5" type="button" dataOnly="0" labelOnly="1" outline="0" axis="axisCol" fieldPosition="0"/>
    </format>
    <format dxfId="68">
      <pivotArea type="topRight" dataOnly="0" labelOnly="1" outline="0" fieldPosition="0"/>
    </format>
    <format dxfId="67">
      <pivotArea field="4" type="button" dataOnly="0" labelOnly="1" outline="0" axis="axisRow" fieldPosition="0"/>
    </format>
    <format dxfId="66">
      <pivotArea field="3" type="button" dataOnly="0" labelOnly="1" outline="0" axis="axisRow" fieldPosition="1"/>
    </format>
    <format dxfId="65">
      <pivotArea field="2" type="button" dataOnly="0" labelOnly="1" outline="0" axis="axisRow" fieldPosition="2"/>
    </format>
    <format dxfId="64">
      <pivotArea dataOnly="0" labelOnly="1" outline="0" fieldPosition="0">
        <references count="1">
          <reference field="5" count="0"/>
        </references>
      </pivotArea>
    </format>
    <format dxfId="63">
      <pivotArea dataOnly="0" labelOnly="1" grandCol="1" outline="0" fieldPosition="0"/>
    </format>
    <format dxfId="62">
      <pivotArea outline="0" collapsedLevelsAreSubtotals="1" fieldPosition="0"/>
    </format>
    <format dxfId="61">
      <pivotArea outline="0" collapsedLevelsAreSubtotals="1" fieldPosition="0"/>
    </format>
  </formats>
  <pivotTableStyleInfo name="PivotStyleMedium2" showRowHeaders="1" showColHeaders="1" showRowStripes="1"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800A36DD-9B38-4C1D-A7C2-9EABF167B358}" name="Total Sales for each country/ category" cacheId="63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Total Sales for each country/ categoryn">
  <location ref="A32:B56" firstHeaderRow="1"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axis="axisRow" allDrilled="1" subtotalTop="0" showAll="0" dataSourceSort="1" defaultSubtotal="0" defaultAttributeDrillState="1">
      <items count="8">
        <item x="0"/>
        <item x="1"/>
        <item x="2"/>
        <item x="3"/>
        <item x="4"/>
        <item x="5"/>
        <item x="6"/>
        <item x="7"/>
      </items>
    </pivotField>
  </pivotFields>
  <rowFields count="2">
    <field x="2"/>
    <field x="1"/>
  </rowFields>
  <rowItems count="24">
    <i>
      <x/>
    </i>
    <i r="1">
      <x/>
    </i>
    <i r="1">
      <x v="1"/>
    </i>
    <i>
      <x v="1"/>
    </i>
    <i r="1">
      <x/>
    </i>
    <i r="1">
      <x v="1"/>
    </i>
    <i>
      <x v="2"/>
    </i>
    <i r="1">
      <x/>
    </i>
    <i>
      <x v="3"/>
    </i>
    <i r="1">
      <x/>
    </i>
    <i r="1">
      <x v="1"/>
    </i>
    <i>
      <x v="4"/>
    </i>
    <i r="1">
      <x/>
    </i>
    <i r="1">
      <x v="1"/>
    </i>
    <i>
      <x v="5"/>
    </i>
    <i r="1">
      <x/>
    </i>
    <i r="1">
      <x v="1"/>
    </i>
    <i>
      <x v="6"/>
    </i>
    <i r="1">
      <x/>
    </i>
    <i r="1">
      <x v="1"/>
    </i>
    <i>
      <x v="7"/>
    </i>
    <i r="1">
      <x/>
    </i>
    <i r="1">
      <x v="1"/>
    </i>
    <i t="grand">
      <x/>
    </i>
  </rowItems>
  <colItems count="1">
    <i/>
  </colItems>
  <dataFields count="1">
    <dataField name="Sum of Amount" fld="0" baseField="0" baseItem="0" numFmtId="44"/>
  </dataFields>
  <formats count="2">
    <format dxfId="1">
      <pivotArea outline="0" collapsedLevelsAreSubtotals="1" fieldPosition="0"/>
    </format>
    <format dxfId="0">
      <pivotArea dataOnly="0" labelOnly="1" outline="0" axis="axisValues" fieldPosition="0"/>
    </format>
  </formats>
  <pivotHierarchies count="17">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4"/>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duct_Dataset.xlsx!Data">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228E80A2-0A4A-425A-BB56-5161E12DC63B}" name="PivotTable6" cacheId="6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No of Sales for Each Product">
  <location ref="M20:N28" firstHeaderRow="1" firstDataRow="1" firstDataCol="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Count of Amount" fld="1" subtotal="count" baseField="0" baseItem="4" numFmtId="44"/>
  </dataFields>
  <formats count="2">
    <format dxfId="3">
      <pivotArea outline="0" collapsedLevelsAreSubtotals="1" fieldPosition="0"/>
    </format>
    <format dxfId="2">
      <pivotArea dataOnly="0" labelOnly="1" outline="0" axis="axisValues" fieldPosition="0"/>
    </format>
  </formats>
  <pivotHierarchies count="17">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Data="1"/>
    <pivotHierarchy dragToData="1" caption="Count of Amount"/>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duct_Dataset.xlsx!Data">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46CE7AF2-320A-4FEE-8D82-91ACFBF89FD4}" name=" region" cacheId="59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 rowHeaderCaption=" region">
  <location ref="K4:L9"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Sum of Order ID" fld="1" baseField="0" baseItem="0"/>
  </dataFields>
  <pivotHierarchies count="17">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Data="1"/>
    <pivotHierarchy dragToData="1" caption="Count of Amount"/>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duct_Dataset.xlsx!Data">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0572FEAB-1BFB-4719-B0B7-66A57C1329D9}" name="PivotTable12" cacheId="61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rowHeaderCaption="Avg Sales for Each country">
  <location ref="T2:T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No of order ID" fld="0" subtotal="count" baseField="0" baseItem="934994288" numFmtId="166"/>
  </dataFields>
  <formats count="4">
    <format dxfId="7">
      <pivotArea type="all" dataOnly="0" outline="0" fieldPosition="0"/>
    </format>
    <format dxfId="6">
      <pivotArea outline="0" collapsedLevelsAreSubtotals="1" fieldPosition="0"/>
    </format>
    <format dxfId="5">
      <pivotArea dataOnly="0" labelOnly="1" outline="0" axis="axisValues" fieldPosition="0"/>
    </format>
    <format dxfId="4">
      <pivotArea outline="0" fieldPosition="0">
        <references count="1">
          <reference field="4294967294" count="1">
            <x v="0"/>
          </reference>
        </references>
      </pivotArea>
    </format>
  </formats>
  <pivotHierarchies count="17">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Data="1" caption="Total Sales"/>
    <pivotHierarchy dragToData="1"/>
    <pivotHierarchy dragToData="1" caption="Average of Amount"/>
    <pivotHierarchy dragToData="1"/>
    <pivotHierarchy dragToData="1" caption="No of order ID"/>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duct_Dataset.xlsx!Data">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895607F2-3E2A-4311-B838-18C907ABA587}" name="Total sales for country" cacheId="63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0" rowHeaderCaption="Total sales for country">
  <location ref="A19:B28" firstHeaderRow="1" firstDataRow="1" firstDataCol="1" rowPageCount="1" colPageCount="1"/>
  <pivotFields count="3">
    <pivotField dataField="1" subtotalTop="0" showAll="0" defaultSubtotal="0"/>
    <pivotField axis="axisRow" allDrilled="1" subtotalTop="0" showAll="0" dataSourceSort="1" defaultSubtotal="0" defaultAttributeDrillState="1">
      <items count="8">
        <item x="0"/>
        <item x="1"/>
        <item x="2"/>
        <item x="3"/>
        <item x="4"/>
        <item x="5"/>
        <item x="6"/>
        <item x="7"/>
      </items>
    </pivotField>
    <pivotField axis="axisPage" allDrilled="1" subtotalTop="0" showAll="0" dataSourceSort="1" defaultSubtotal="0" defaultAttributeDrillState="1"/>
  </pivotFields>
  <rowFields count="1">
    <field x="1"/>
  </rowFields>
  <rowItems count="9">
    <i>
      <x/>
    </i>
    <i>
      <x v="1"/>
    </i>
    <i>
      <x v="2"/>
    </i>
    <i>
      <x v="3"/>
    </i>
    <i>
      <x v="4"/>
    </i>
    <i>
      <x v="5"/>
    </i>
    <i>
      <x v="6"/>
    </i>
    <i>
      <x v="7"/>
    </i>
    <i t="grand">
      <x/>
    </i>
  </rowItems>
  <colItems count="1">
    <i/>
  </colItems>
  <pageFields count="1">
    <pageField fld="2" hier="5" name="[Data].[Region].[All]" cap="All"/>
  </pageFields>
  <dataFields count="1">
    <dataField name="Sum of Amount" fld="0" baseField="0" baseItem="0" numFmtId="165"/>
  </dataFields>
  <formats count="2">
    <format dxfId="9">
      <pivotArea dataOnly="0" labelOnly="1" outline="0" axis="axisValues" fieldPosition="0"/>
    </format>
    <format dxfId="8">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Hierarchies count="17">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duct_Dataset.xlsx!Data">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8D26B0D9-9EDC-4D52-874B-88321FC78F2F}" name="No of order ID" cacheId="60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Total Sales For Eact Year">
  <location ref="Q18:R21"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Sum of Amount" fld="1" baseField="0" baseItem="0" numFmtId="44"/>
  </dataFields>
  <formats count="2">
    <format dxfId="11">
      <pivotArea outline="0" collapsedLevelsAreSubtotals="1" fieldPosition="0"/>
    </format>
    <format dxfId="10">
      <pivotArea dataOnly="0" labelOnly="1" outline="0" axis="axisValues" fieldPosition="0"/>
    </format>
  </formats>
  <pivotHierarchies count="17">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Data="1" caption="Sum of Amount"/>
    <pivotHierarchy dragToData="1"/>
    <pivotHierarchy dragToData="1" caption="Average of Amount"/>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duct_Dataset.xlsx!Data">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CB40181B-740E-4CBE-A7FD-CBDF1C3B1957}" name="% of SALES FOR category" cacheId="59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8" rowHeaderCaption="% of SALES FOR category">
  <location ref="G20:H23" firstHeaderRow="1"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3">
    <i>
      <x/>
    </i>
    <i>
      <x v="1"/>
    </i>
    <i t="grand">
      <x/>
    </i>
  </rowItems>
  <colItems count="1">
    <i/>
  </colItems>
  <dataFields count="1">
    <dataField name="Sum of Amount" fld="0" showDataAs="percentOfTotal" baseField="1" baseItem="0" numFmtId="10"/>
  </dataFields>
  <formats count="3">
    <format dxfId="14">
      <pivotArea outline="0" collapsedLevelsAreSubtotals="1" fieldPosition="0"/>
    </format>
    <format dxfId="13">
      <pivotArea dataOnly="0" labelOnly="1" outline="0" axis="axisValues" fieldPosition="0"/>
    </format>
    <format dxfId="12">
      <pivotArea outline="0" fieldPosition="0">
        <references count="1">
          <reference field="4294967294" count="1">
            <x v="0"/>
          </reference>
        </references>
      </pivotArea>
    </format>
  </formats>
  <chartFormats count="3">
    <chartFormat chart="7" format="4" series="1">
      <pivotArea type="data" outline="0" fieldPosition="0">
        <references count="1">
          <reference field="4294967294" count="1" selected="0">
            <x v="0"/>
          </reference>
        </references>
      </pivotArea>
    </chartFormat>
    <chartFormat chart="7" format="5">
      <pivotArea type="data" outline="0" fieldPosition="0">
        <references count="2">
          <reference field="4294967294" count="1" selected="0">
            <x v="0"/>
          </reference>
          <reference field="1" count="1" selected="0">
            <x v="0"/>
          </reference>
        </references>
      </pivotArea>
    </chartFormat>
    <chartFormat chart="7" format="6">
      <pivotArea type="data" outline="0" fieldPosition="0">
        <references count="2">
          <reference field="4294967294" count="1" selected="0">
            <x v="0"/>
          </reference>
          <reference field="1" count="1" selected="0">
            <x v="1"/>
          </reference>
        </references>
      </pivotArea>
    </chartFormat>
  </chartFormats>
  <pivotHierarchies count="17">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duct_Dataset.xlsx!Data">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5B541D9B-1FA2-4693-BF5C-9DCA2B26A8F9}" name="Quarter" cacheId="62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8" rowHeaderCaption="Quarter">
  <location ref="K14:L19" firstHeaderRow="1" firstDataRow="1" firstDataCol="1" rowPageCount="1" colPageCount="1"/>
  <pivotFields count="4">
    <pivotField dataField="1" subtotalTop="0" showAll="0" defaultSubtotal="0"/>
    <pivotField axis="axisRow" allDrilled="1" subtotalTop="0" showAll="0" dataSourceSort="1" defaultSubtotal="0" defaultAttributeDrillState="1">
      <items count="4">
        <item x="0"/>
        <item x="1"/>
        <item x="2"/>
        <item x="3"/>
      </items>
    </pivotField>
    <pivotField axis="axisPage" allDrilled="1" subtotalTop="0" showAll="0" dataSourceSort="1" defaultSubtotal="0" defaultAttributeDrillState="1"/>
    <pivotField allDrilled="1" subtotalTop="0" showAll="0" dataSourceSort="1" defaultSubtotal="0" defaultAttributeDrillState="1"/>
  </pivotFields>
  <rowFields count="1">
    <field x="1"/>
  </rowFields>
  <rowItems count="5">
    <i>
      <x/>
    </i>
    <i>
      <x v="1"/>
    </i>
    <i>
      <x v="2"/>
    </i>
    <i>
      <x v="3"/>
    </i>
    <i t="grand">
      <x/>
    </i>
  </rowItems>
  <colItems count="1">
    <i/>
  </colItems>
  <pageFields count="1">
    <pageField fld="2" hier="7" name="[Data].[Year].[All]" cap="All"/>
  </pageFields>
  <dataFields count="1">
    <dataField name="Sum of Amount" fld="0" baseField="0" baseItem="0" numFmtId="44"/>
  </dataFields>
  <formats count="1">
    <format dxfId="15">
      <pivotArea outline="0" collapsedLevelsAreSubtotals="1" fieldPosition="0"/>
    </format>
  </formats>
  <chartFormats count="1">
    <chartFormat chart="7" format="2" series="1">
      <pivotArea type="data" outline="0" fieldPosition="0">
        <references count="1">
          <reference field="4294967294" count="1" selected="0">
            <x v="0"/>
          </reference>
        </references>
      </pivotArea>
    </chartFormat>
  </chartFormats>
  <pivotHierarchies count="17">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Data="1"/>
    <pivotHierarchy dragToData="1" caption="Count of Amount"/>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duct_Dataset.xlsx!Data">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80A51F96-01F8-4E01-AFCF-A4801811E026}" name="Avg Sales for Each country" cacheId="60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Avg Sales for Each country">
  <location ref="O4:P9"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Average of Amount" fld="1" subtotal="average" baseField="0" baseItem="2" numFmtId="44"/>
  </dataFields>
  <formats count="2">
    <format dxfId="17">
      <pivotArea outline="0" collapsedLevelsAreSubtotals="1" fieldPosition="0"/>
    </format>
    <format dxfId="16">
      <pivotArea dataOnly="0" labelOnly="1" outline="0" axis="axisValues" fieldPosition="0"/>
    </format>
  </formats>
  <pivotHierarchies count="17">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caption="Average of Amount"/>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duct_Dataset.xlsx!Data">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2D1BDC7F-A8B6-4699-B5FB-DD08FAAAC5A4}" name="Total sales for each region" cacheId="63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Total sales for each region">
  <location ref="A3:B8"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Sum of Amount" fld="1" baseField="0" baseItem="0" numFmtId="44"/>
  </dataFields>
  <formats count="2">
    <format dxfId="19">
      <pivotArea outline="0" collapsedLevelsAreSubtotals="1" fieldPosition="0"/>
    </format>
    <format dxfId="18">
      <pivotArea dataOnly="0" labelOnly="1" outline="0" axis="axisValues" fieldPosition="0"/>
    </format>
  </formats>
  <pivotHierarchies count="17">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duct_Dataset.xlsx!Data">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76A9DA16-EED3-4D89-B16A-D2732C369C73}" name="PivotTable11" cacheId="61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rowHeaderCaption="Avg Sales for Each country">
  <location ref="R2:R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Sales" fld="0" baseField="0" baseItem="276511424" numFmtId="165"/>
  </dataFields>
  <formats count="2">
    <format dxfId="21">
      <pivotArea dataOnly="0" labelOnly="1" outline="0" axis="axisValues" fieldPosition="0"/>
    </format>
    <format dxfId="20">
      <pivotArea outline="0" collapsedLevelsAreSubtotals="1" fieldPosition="0"/>
    </format>
  </formats>
  <pivotHierarchies count="17">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Data="1" caption="Total Sales"/>
    <pivotHierarchy dragToData="1"/>
    <pivotHierarchy dragToData="1" caption="Average of Amount"/>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duct_Dataset.xlsx!Data">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9DC53382-252D-4582-84F2-33C6AC4D0757}" name="No of Sales for each region" cacheId="60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No of Sales for each region">
  <location ref="H4:I9"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Count of Amount" fld="1" subtotal="count" baseField="0" baseItem="1"/>
  </dataFields>
  <chartFormats count="6">
    <chartFormat chart="0" format="0" series="1">
      <pivotArea type="data" outline="0" fieldPosition="0">
        <references count="1">
          <reference field="4294967294" count="1" selected="0">
            <x v="0"/>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0" count="1" selected="0">
            <x v="0"/>
          </reference>
        </references>
      </pivotArea>
    </chartFormat>
    <chartFormat chart="2" format="8">
      <pivotArea type="data" outline="0" fieldPosition="0">
        <references count="2">
          <reference field="4294967294" count="1" selected="0">
            <x v="0"/>
          </reference>
          <reference field="0" count="1" selected="0">
            <x v="1"/>
          </reference>
        </references>
      </pivotArea>
    </chartFormat>
    <chartFormat chart="2" format="9">
      <pivotArea type="data" outline="0" fieldPosition="0">
        <references count="2">
          <reference field="4294967294" count="1" selected="0">
            <x v="0"/>
          </reference>
          <reference field="0" count="1" selected="0">
            <x v="2"/>
          </reference>
        </references>
      </pivotArea>
    </chartFormat>
    <chartFormat chart="2" format="10">
      <pivotArea type="data" outline="0" fieldPosition="0">
        <references count="2">
          <reference field="4294967294" count="1" selected="0">
            <x v="0"/>
          </reference>
          <reference field="0" count="1" selected="0">
            <x v="3"/>
          </reference>
        </references>
      </pivotArea>
    </chartFormat>
  </chartFormats>
  <pivotHierarchies count="17">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Data="1"/>
    <pivotHierarchy dragToData="1" caption="Count of Amount"/>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duct_Dataset.xlsx!Data">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DBCE6F26-01DD-4BB5-AA1A-C46B3E4E79A4}" name="Total sales over months" cacheId="64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Total sales over months">
  <location ref="G32:H46" firstHeaderRow="1" firstDataRow="1" firstDataCol="1"/>
  <pivotFields count="3">
    <pivotField dataField="1" subtotalTop="0" showAll="0" defaultSubtotal="0"/>
    <pivotField axis="axisRow" allDrilled="1" subtotalTop="0" showAll="0" sortType="ascending" defaultSubtotal="0" defaultAttributeDrillState="1">
      <items count="13">
        <item x="4"/>
        <item x="3"/>
        <item x="7"/>
        <item x="0"/>
        <item x="8"/>
        <item x="6"/>
        <item x="5"/>
        <item x="1"/>
        <item x="12"/>
        <item x="10"/>
        <item x="9"/>
        <item x="2"/>
        <item x="11"/>
      </items>
    </pivotField>
    <pivotField allDrilled="1" subtotalTop="0" showAll="0" dataSourceSort="1" defaultSubtotal="0" defaultAttributeDrillState="1"/>
  </pivotFields>
  <rowFields count="1">
    <field x="1"/>
  </rowFields>
  <rowItems count="14">
    <i>
      <x/>
    </i>
    <i>
      <x v="1"/>
    </i>
    <i>
      <x v="2"/>
    </i>
    <i>
      <x v="3"/>
    </i>
    <i>
      <x v="4"/>
    </i>
    <i>
      <x v="5"/>
    </i>
    <i>
      <x v="6"/>
    </i>
    <i>
      <x v="7"/>
    </i>
    <i>
      <x v="8"/>
    </i>
    <i>
      <x v="9"/>
    </i>
    <i>
      <x v="10"/>
    </i>
    <i>
      <x v="11"/>
    </i>
    <i>
      <x v="12"/>
    </i>
    <i t="grand">
      <x/>
    </i>
  </rowItems>
  <colItems count="1">
    <i/>
  </colItems>
  <dataFields count="1">
    <dataField name="Sum of Amount" fld="0" baseField="1" baseItem="2" numFmtId="44"/>
  </dataFields>
  <formats count="2">
    <format dxfId="23">
      <pivotArea outline="0" collapsedLevelsAreSubtotals="1" fieldPosition="0"/>
    </format>
    <format dxfId="22">
      <pivotArea dataOnly="0" labelOnly="1" outline="0" axis="axisValues" fieldPosition="0"/>
    </format>
  </formats>
  <chartFormats count="2">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1" count="1" selected="0">
            <x v="8"/>
          </reference>
        </references>
      </pivotArea>
    </chartFormat>
  </chartFormats>
  <pivotHierarchies count="17">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duct_Dataset.xlsx!Data">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166E8ADD-9924-4A82-831B-6CAB0F809E0E}" name="PivotTable13" cacheId="61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rowHeaderCaption="Avg Sales for Each country">
  <location ref="V2:V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g Sales" fld="0" subtotal="average" baseField="0" baseItem="930524992"/>
  </dataFields>
  <formats count="3">
    <format dxfId="26">
      <pivotArea type="all" dataOnly="0" outline="0" fieldPosition="0"/>
    </format>
    <format dxfId="25">
      <pivotArea outline="0" collapsedLevelsAreSubtotals="1" fieldPosition="0"/>
    </format>
    <format dxfId="24">
      <pivotArea dataOnly="0" labelOnly="1" outline="0" axis="axisValues" fieldPosition="0"/>
    </format>
  </formats>
  <pivotHierarchies count="17">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Data="1" caption="Total Sales"/>
    <pivotHierarchy dragToData="1"/>
    <pivotHierarchy dragToData="1" caption="Avg Sales"/>
    <pivotHierarchy dragToData="1"/>
    <pivotHierarchy dragToData="1" caption="Avg Sales"/>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duct_Dataset.xlsx!Data">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1C3E1BB3-E48D-42DD-80DB-50EB14273EAA}" name="PivotTable9" cacheId="6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total slaes for Country / category /product distributed by region">
  <location ref="M33:R103" firstHeaderRow="1" firstDataRow="2" firstDataCol="1"/>
  <pivotFields count="5">
    <pivotField dataField="1" subtotalTop="0" showAll="0" defaultSubtotal="0"/>
    <pivotField axis="axisRow" allDrilled="1" subtotalTop="0" showAll="0" dataSourceSort="1" defaultSubtotal="0" defaultAttributeDrillState="1">
      <items count="8">
        <item x="0"/>
        <item x="1"/>
        <item x="2"/>
        <item x="3"/>
        <item x="4"/>
        <item x="5"/>
        <item x="6"/>
        <item x="7"/>
      </items>
    </pivotField>
    <pivotField axis="axisRow" allDrilled="1" subtotalTop="0" showAll="0" dataSourceSort="1" defaultSubtotal="0" defaultAttributeDrillState="1">
      <items count="2">
        <item x="0"/>
        <item x="1"/>
      </items>
    </pivotField>
    <pivotField axis="axisRow" allDrilled="1" subtotalTop="0" showAll="0" dataSourceSort="1" defaultSubtotal="0" defaultAttributeDrillState="1">
      <items count="7">
        <item x="0"/>
        <item x="1"/>
        <item x="2"/>
        <item x="3"/>
        <item x="4"/>
        <item x="5"/>
        <item x="6"/>
      </items>
    </pivotField>
    <pivotField axis="axisCol" allDrilled="1" subtotalTop="0" showAll="0" dataSourceSort="1" defaultSubtotal="0" defaultAttributeDrillState="1">
      <items count="4">
        <item x="0"/>
        <item x="1"/>
        <item x="2"/>
        <item x="3"/>
      </items>
    </pivotField>
  </pivotFields>
  <rowFields count="3">
    <field x="1"/>
    <field x="2"/>
    <field x="3"/>
  </rowFields>
  <rowItems count="69">
    <i>
      <x/>
    </i>
    <i r="1">
      <x/>
    </i>
    <i r="2">
      <x/>
    </i>
    <i r="2">
      <x v="1"/>
    </i>
    <i r="2">
      <x v="2"/>
    </i>
    <i r="2">
      <x v="3"/>
    </i>
    <i r="1">
      <x v="1"/>
    </i>
    <i r="2">
      <x v="4"/>
    </i>
    <i r="2">
      <x v="5"/>
    </i>
    <i r="2">
      <x v="6"/>
    </i>
    <i>
      <x v="1"/>
    </i>
    <i r="1">
      <x/>
    </i>
    <i r="2">
      <x/>
    </i>
    <i r="2">
      <x v="1"/>
    </i>
    <i r="2">
      <x v="2"/>
    </i>
    <i r="2">
      <x v="3"/>
    </i>
    <i r="1">
      <x v="1"/>
    </i>
    <i r="2">
      <x v="5"/>
    </i>
    <i>
      <x v="2"/>
    </i>
    <i r="1">
      <x/>
    </i>
    <i r="2">
      <x v="1"/>
    </i>
    <i>
      <x v="3"/>
    </i>
    <i r="1">
      <x/>
    </i>
    <i r="2">
      <x/>
    </i>
    <i r="2">
      <x v="1"/>
    </i>
    <i r="2">
      <x v="2"/>
    </i>
    <i r="2">
      <x v="3"/>
    </i>
    <i r="1">
      <x v="1"/>
    </i>
    <i r="2">
      <x v="4"/>
    </i>
    <i r="2">
      <x v="5"/>
    </i>
    <i r="2">
      <x v="6"/>
    </i>
    <i>
      <x v="4"/>
    </i>
    <i r="1">
      <x/>
    </i>
    <i r="2">
      <x/>
    </i>
    <i r="2">
      <x v="1"/>
    </i>
    <i r="2">
      <x v="2"/>
    </i>
    <i r="2">
      <x v="3"/>
    </i>
    <i r="1">
      <x v="1"/>
    </i>
    <i r="2">
      <x v="4"/>
    </i>
    <i r="2">
      <x v="5"/>
    </i>
    <i r="2">
      <x v="6"/>
    </i>
    <i>
      <x v="5"/>
    </i>
    <i r="1">
      <x/>
    </i>
    <i r="2">
      <x/>
    </i>
    <i r="2">
      <x v="1"/>
    </i>
    <i r="2">
      <x v="3"/>
    </i>
    <i r="1">
      <x v="1"/>
    </i>
    <i r="2">
      <x v="5"/>
    </i>
    <i>
      <x v="6"/>
    </i>
    <i r="1">
      <x/>
    </i>
    <i r="2">
      <x/>
    </i>
    <i r="2">
      <x v="1"/>
    </i>
    <i r="2">
      <x v="2"/>
    </i>
    <i r="2">
      <x v="3"/>
    </i>
    <i r="1">
      <x v="1"/>
    </i>
    <i r="2">
      <x v="4"/>
    </i>
    <i r="2">
      <x v="5"/>
    </i>
    <i r="2">
      <x v="6"/>
    </i>
    <i>
      <x v="7"/>
    </i>
    <i r="1">
      <x/>
    </i>
    <i r="2">
      <x/>
    </i>
    <i r="2">
      <x v="1"/>
    </i>
    <i r="2">
      <x v="2"/>
    </i>
    <i r="2">
      <x v="3"/>
    </i>
    <i r="1">
      <x v="1"/>
    </i>
    <i r="2">
      <x v="4"/>
    </i>
    <i r="2">
      <x v="5"/>
    </i>
    <i r="2">
      <x v="6"/>
    </i>
    <i t="grand">
      <x/>
    </i>
  </rowItems>
  <colFields count="1">
    <field x="4"/>
  </colFields>
  <colItems count="5">
    <i>
      <x/>
    </i>
    <i>
      <x v="1"/>
    </i>
    <i>
      <x v="2"/>
    </i>
    <i>
      <x v="3"/>
    </i>
    <i t="grand">
      <x/>
    </i>
  </colItems>
  <dataFields count="1">
    <dataField name="s" fld="0" baseField="0" baseItem="0" numFmtId="44"/>
  </dataFields>
  <formats count="3">
    <format dxfId="29">
      <pivotArea outline="0" collapsedLevelsAreSubtotals="1" fieldPosition="0"/>
    </format>
    <format dxfId="28">
      <pivotArea dataOnly="0" labelOnly="1" outline="0" axis="axisValues" fieldPosition="0"/>
    </format>
    <format dxfId="27">
      <pivotArea outline="0" fieldPosition="0">
        <references count="1">
          <reference field="4294967294" count="1">
            <x v="0"/>
          </reference>
        </references>
      </pivotArea>
    </format>
  </formats>
  <pivotHierarchies count="17">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Data="1" caption="s"/>
    <pivotHierarchy dragToData="1"/>
    <pivotHierarchy dragToData="1"/>
    <pivotHierarchy dragToData="1"/>
    <pivotHierarchy dragToData="1"/>
  </pivotHierarchies>
  <pivotTableStyleInfo name="PivotStyleLight16" showRowHeaders="1" showColHeaders="1" showRowStripes="0" showColStripes="0" showLastColumn="1"/>
  <rowHierarchiesUsage count="3">
    <rowHierarchyUsage hierarchyUsage="4"/>
    <rowHierarchyUsage hierarchyUsage="3"/>
    <rowHierarchyUsage hierarchyUsage="2"/>
  </rowHierarchiesUsage>
  <colHierarchiesUsage count="1">
    <colHierarchyUsage hierarchyUsage="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duct_Dataset.xlsx!Data">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C67CD598-E018-45FA-87D7-946BF1EE19C2}" name="PivotTable16" cacheId="62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 rowHeaderCaption=" region">
  <location ref="J29:K34" firstHeaderRow="1" firstDataRow="1" firstDataCol="1" rowPageCount="1" colPageCount="1"/>
  <pivotFields count="4">
    <pivotField axis="axisRow" allDrilled="1" subtotalTop="0" showAll="0" dataSourceSort="1" defaultSubtotal="0" defaultAttributeDrillState="1">
      <items count="4">
        <item x="0"/>
        <item x="1"/>
        <item x="2"/>
        <item x="3"/>
      </items>
    </pivotField>
    <pivotField dataField="1" subtotalTop="0" showAll="0" defaultSubtotal="0"/>
    <pivotField axis="axisPage" allDrilled="1" subtotalTop="0" showAll="0" dataSourceSort="1" defaultSubtotal="0" defaultAttributeDrillState="1"/>
    <pivotField allDrilled="1" subtotalTop="0" showAll="0" dataSourceSort="1" defaultSubtotal="0" defaultAttributeDrillState="1"/>
  </pivotFields>
  <rowFields count="1">
    <field x="0"/>
  </rowFields>
  <rowItems count="5">
    <i>
      <x/>
    </i>
    <i>
      <x v="1"/>
    </i>
    <i>
      <x v="2"/>
    </i>
    <i>
      <x v="3"/>
    </i>
    <i t="grand">
      <x/>
    </i>
  </rowItems>
  <colItems count="1">
    <i/>
  </colItems>
  <pageFields count="1">
    <pageField fld="2" hier="7" name="[Data].[Year].[All]" cap="All"/>
  </pageFields>
  <dataFields count="1">
    <dataField name="Sum of Amount" fld="1" baseField="0" baseItem="0" numFmtId="165"/>
  </dataFields>
  <formats count="1">
    <format dxfId="30">
      <pivotArea outline="0" collapsedLevelsAreSubtotals="1" fieldPosition="0"/>
    </format>
  </formats>
  <pivotHierarchies count="17">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Data="1"/>
    <pivotHierarchy dragToData="1" caption="Count of Amount"/>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duct_Dataset.xlsx!Data">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C36A09C2-7AF1-4758-8A0C-221377A2F79E}" autoFormatId="16" applyNumberFormats="0" applyBorderFormats="0" applyFontFormats="0" applyPatternFormats="0" applyAlignmentFormats="0" applyWidthHeightFormats="0">
  <queryTableRefresh nextId="11">
    <queryTableFields count="10">
      <queryTableField id="1" name="Data[Order ID]" tableColumnId="1"/>
      <queryTableField id="2" name="Data[Date]" tableColumnId="2"/>
      <queryTableField id="3" name="Data[Product]" tableColumnId="3"/>
      <queryTableField id="4" name="Data[Category]" tableColumnId="4"/>
      <queryTableField id="5" name="Data[Country]" tableColumnId="5"/>
      <queryTableField id="6" name="Data[Region]" tableColumnId="6"/>
      <queryTableField id="7" name="Data[Month]" tableColumnId="7"/>
      <queryTableField id="8" name="Data[Year]" tableColumnId="8"/>
      <queryTableField id="9" name="Data[Quarter]" tableColumnId="9"/>
      <queryTableField id="10" name="Data[Amount]" tableColumnId="10"/>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5D9D47E3-7821-4446-B6CD-FA68785208AC}" sourceName="Quarter">
  <pivotTables>
    <pivotTable tabId="8" name="T Pro"/>
    <pivotTable tabId="9" name="PivotTable14"/>
    <pivotTable tabId="8" name="Avg Amount"/>
    <pivotTable tabId="8" name="Cat %"/>
    <pivotTable tabId="8" name="country by region"/>
    <pivotTable tabId="8" name="No of order ID"/>
    <pivotTable tabId="8" name="No of Orders by region"/>
    <pivotTable tabId="8" name="No of pro"/>
    <pivotTable tabId="8" name="PivotTable18"/>
    <pivotTable tabId="8" name="Region"/>
    <pivotTable tabId="8" name="T Country"/>
    <pivotTable tabId="8" name="t Month"/>
    <pivotTable tabId="8" name="yearly sales"/>
  </pivotTables>
  <data>
    <tabular pivotCacheId="1700709727">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596A0067-FD57-47D7-A340-4A38622C3421}" sourceName="Category">
  <pivotTables>
    <pivotTable tabId="8" name="T Country"/>
    <pivotTable tabId="9" name="PivotTable14"/>
    <pivotTable tabId="8" name="Avg Amount"/>
    <pivotTable tabId="8" name="Cat %"/>
    <pivotTable tabId="8" name="country by region"/>
    <pivotTable tabId="8" name="No of order ID"/>
    <pivotTable tabId="8" name="No of Orders by region"/>
    <pivotTable tabId="8" name="No of pro"/>
    <pivotTable tabId="8" name="PivotTable18"/>
    <pivotTable tabId="8" name="Region"/>
    <pivotTable tabId="8" name="t Month"/>
    <pivotTable tabId="8" name="T Pro"/>
    <pivotTable tabId="8" name="yearly sales"/>
  </pivotTables>
  <data>
    <tabular pivotCacheId="1700709727">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9120F39C-C2A1-4B3D-A221-BC128164BA8B}" sourceName="Product">
  <pivotTables>
    <pivotTable tabId="8" name="T Pro"/>
    <pivotTable tabId="9" name="PivotTable14"/>
    <pivotTable tabId="8" name="Avg Amount"/>
    <pivotTable tabId="8" name="Cat %"/>
    <pivotTable tabId="8" name="country by region"/>
    <pivotTable tabId="8" name="No of order ID"/>
    <pivotTable tabId="8" name="No of Orders by region"/>
    <pivotTable tabId="8" name="No of pro"/>
    <pivotTable tabId="8" name="PivotTable18"/>
    <pivotTable tabId="8" name="Region"/>
    <pivotTable tabId="8" name="T Country"/>
    <pivotTable tabId="8" name="t Month"/>
    <pivotTable tabId="8" name="yearly sales"/>
  </pivotTables>
  <data>
    <tabular pivotCacheId="1700709727">
      <items count="7">
        <i x="5" s="1"/>
        <i x="2" s="1"/>
        <i x="3" s="1"/>
        <i x="1" s="1"/>
        <i x="0" s="1"/>
        <i x="6" s="1"/>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9E82D2FC-131A-4232-AD55-0050DD252B15}" sourceName="Country">
  <pivotTables>
    <pivotTable tabId="8" name="T Pro"/>
    <pivotTable tabId="9" name="PivotTable14"/>
    <pivotTable tabId="8" name="Avg Amount"/>
    <pivotTable tabId="8" name="Cat %"/>
    <pivotTable tabId="8" name="country by region"/>
    <pivotTable tabId="8" name="No of order ID"/>
    <pivotTable tabId="8" name="No of Orders by region"/>
    <pivotTable tabId="8" name="No of pro"/>
    <pivotTable tabId="8" name="PivotTable18"/>
    <pivotTable tabId="8" name="Region"/>
    <pivotTable tabId="8" name="T Country"/>
    <pivotTable tabId="8" name="t Month"/>
    <pivotTable tabId="8" name="yearly sales"/>
  </pivotTables>
  <data>
    <tabular pivotCacheId="1700709727">
      <items count="8">
        <i x="4"/>
        <i x="2"/>
        <i x="7"/>
        <i x="6"/>
        <i x="3" s="1"/>
        <i x="5"/>
        <i x="1"/>
        <i x="0"/>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B55037C-02DB-41FE-A75C-3AAF319567F4}" sourceName="Region">
  <pivotTables>
    <pivotTable tabId="8" name="T Pro"/>
    <pivotTable tabId="9" name="PivotTable14"/>
    <pivotTable tabId="8" name="Avg Amount"/>
    <pivotTable tabId="8" name="Cat %"/>
    <pivotTable tabId="8" name="country by region"/>
    <pivotTable tabId="8" name="No of order ID"/>
    <pivotTable tabId="8" name="No of Orders by region"/>
    <pivotTable tabId="8" name="No of pro"/>
    <pivotTable tabId="8" name="PivotTable18"/>
    <pivotTable tabId="8" name="Region"/>
    <pivotTable tabId="8" name="T Country"/>
    <pivotTable tabId="8" name="t Month"/>
    <pivotTable tabId="8" name="yearly sales"/>
  </pivotTables>
  <data>
    <tabular pivotCacheId="1700709727">
      <items count="4">
        <i x="1" s="1"/>
        <i x="2" s="1"/>
        <i x="0" s="1"/>
        <i x="3"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1" xr10:uid="{C4BCEF2F-2735-4A98-B4BF-F99302D39C65}" sourceName="[Data].[Country]">
  <pivotTables>
    <pivotTable tabId="34" name="% of SALES FOR category"/>
    <pivotTable tabId="34" name=" region"/>
    <pivotTable tabId="34" name="Avg Sales for Each country"/>
    <pivotTable tabId="34" name="No of order ID"/>
    <pivotTable tabId="34" name="No of Sales for each region"/>
    <pivotTable tabId="34" name="PivotTable11"/>
    <pivotTable tabId="34" name="PivotTable12"/>
    <pivotTable tabId="34" name="PivotTable13"/>
    <pivotTable tabId="34" name="PivotTable16"/>
    <pivotTable tabId="34" name="PivotTable6"/>
    <pivotTable tabId="34" name="PivotTable9"/>
    <pivotTable tabId="34" name="Quarter"/>
    <pivotTable tabId="34" name="Total sales for country"/>
    <pivotTable tabId="34" name="Total Sales for each country/ category"/>
    <pivotTable tabId="34" name="Total sales for each region"/>
    <pivotTable tabId="34" name="Total sales over months"/>
  </pivotTables>
  <data>
    <olap pivotCacheId="151956618">
      <levels count="2">
        <level uniqueName="[Data].[Country].[(All)]" sourceCaption="(All)" count="0"/>
        <level uniqueName="[Data].[Country].[Country]" sourceCaption="Country" count="8">
          <ranges>
            <range startItem="0">
              <i n="[Data].[Country].&amp;[Australia]" c="Australia"/>
              <i n="[Data].[Country].&amp;[Canada]" c="Canada"/>
              <i n="[Data].[Country].&amp;[EGY]" c="EGY"/>
              <i n="[Data].[Country].&amp;[France]" c="France"/>
              <i n="[Data].[Country].&amp;[Germany]" c="Germany"/>
              <i n="[Data].[Country].&amp;[New Zealand]" c="New Zealand"/>
              <i n="[Data].[Country].&amp;[UK]" c="UK"/>
              <i n="[Data].[Country].&amp;[US]" c="US"/>
            </range>
          </ranges>
        </level>
      </levels>
      <selections count="1">
        <selection n="[Data].[Country].[All]"/>
      </selections>
    </olap>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A1D19F2F-F82A-4314-9449-36B73E4E4AD2}" sourceName="[Data].[Category]">
  <pivotTables>
    <pivotTable tabId="34" name="% of SALES FOR category"/>
    <pivotTable tabId="34" name=" region"/>
    <pivotTable tabId="34" name="Avg Sales for Each country"/>
    <pivotTable tabId="34" name="No of order ID"/>
    <pivotTable tabId="34" name="No of Sales for each region"/>
    <pivotTable tabId="34" name="PivotTable11"/>
    <pivotTable tabId="34" name="PivotTable12"/>
    <pivotTable tabId="34" name="PivotTable13"/>
    <pivotTable tabId="34" name="PivotTable16"/>
    <pivotTable tabId="34" name="PivotTable6"/>
    <pivotTable tabId="34" name="PivotTable9"/>
    <pivotTable tabId="34" name="Quarter"/>
    <pivotTable tabId="34" name="Total sales for country"/>
    <pivotTable tabId="34" name="Total Sales for each country/ category"/>
    <pivotTable tabId="34" name="Total sales for each region"/>
    <pivotTable tabId="34" name="Total sales over months"/>
  </pivotTables>
  <data>
    <olap pivotCacheId="151956618">
      <levels count="2">
        <level uniqueName="[Data].[Category].[(All)]" sourceCaption="(All)" count="0"/>
        <level uniqueName="[Data].[Category].[Category]" sourceCaption="Category" count="2">
          <ranges>
            <range startItem="0">
              <i n="[Data].[Category].&amp;[Fruit]" c="Fruit"/>
              <i n="[Data].[Category].&amp;[Vegetables]" c="Vegetables"/>
            </range>
          </ranges>
        </level>
      </levels>
      <selections count="1">
        <selection n="[Data].[Category].[All]"/>
      </selections>
    </olap>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1B3E08A8-BA51-44D1-8F30-E90FD23A34E6}" sourceName="[Data].[Year]">
  <pivotTables>
    <pivotTable tabId="34" name="% of SALES FOR category"/>
    <pivotTable tabId="34" name=" region"/>
    <pivotTable tabId="34" name="Avg Sales for Each country"/>
    <pivotTable tabId="34" name="No of order ID"/>
    <pivotTable tabId="34" name="No of Sales for each region"/>
    <pivotTable tabId="34" name="PivotTable11"/>
    <pivotTable tabId="34" name="PivotTable12"/>
    <pivotTable tabId="34" name="PivotTable13"/>
    <pivotTable tabId="34" name="PivotTable16"/>
    <pivotTable tabId="34" name="PivotTable6"/>
    <pivotTable tabId="34" name="PivotTable9"/>
    <pivotTable tabId="34" name="Quarter"/>
    <pivotTable tabId="34" name="Total sales for country"/>
    <pivotTable tabId="34" name="Total Sales for each country/ category"/>
    <pivotTable tabId="34" name="Total sales for each region"/>
    <pivotTable tabId="34" name="Total sales over months"/>
  </pivotTables>
  <data>
    <olap pivotCacheId="151956618">
      <levels count="2">
        <level uniqueName="[Data].[Year].[(All)]" sourceCaption="(All)" count="0"/>
        <level uniqueName="[Data].[Year].[Year]" sourceCaption="Year" count="2">
          <ranges>
            <range startItem="0">
              <i n="[Data].[Year].&amp;[2019]" c="2019"/>
              <i n="[Data].[Year].&amp;[2020]" c="2020"/>
            </range>
          </ranges>
        </level>
      </levels>
      <selections count="1">
        <selection n="[Data].[Year].[All]"/>
      </selections>
    </olap>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1" xr10:uid="{3DD6A8AD-1AFD-4894-9FA2-1DA23DA2F916}" sourceName="[Data].[Quarter]">
  <pivotTables>
    <pivotTable tabId="34" name="% of SALES FOR category"/>
    <pivotTable tabId="34" name=" region"/>
    <pivotTable tabId="34" name="Avg Sales for Each country"/>
    <pivotTable tabId="34" name="No of order ID"/>
    <pivotTable tabId="34" name="No of Sales for each region"/>
    <pivotTable tabId="34" name="PivotTable11"/>
    <pivotTable tabId="34" name="PivotTable12"/>
    <pivotTable tabId="34" name="PivotTable13"/>
    <pivotTable tabId="34" name="PivotTable16"/>
    <pivotTable tabId="34" name="PivotTable6"/>
    <pivotTable tabId="34" name="PivotTable9"/>
    <pivotTable tabId="34" name="Quarter"/>
    <pivotTable tabId="34" name="Total sales for country"/>
    <pivotTable tabId="34" name="Total Sales for each country/ category"/>
    <pivotTable tabId="34" name="Total sales for each region"/>
    <pivotTable tabId="34" name="Total sales over months"/>
  </pivotTables>
  <data>
    <olap pivotCacheId="151956618">
      <levels count="2">
        <level uniqueName="[Data].[Quarter].[(All)]" sourceCaption="(All)" count="0"/>
        <level uniqueName="[Data].[Quarter].[Quarter]" sourceCaption="Quarter" count="4">
          <ranges>
            <range startItem="0">
              <i n="[Data].[Quarter].&amp;[Q1]" c="Q1"/>
              <i n="[Data].[Quarter].&amp;[Q2]" c="Q2"/>
              <i n="[Data].[Quarter].&amp;[Q3]" c="Q3"/>
              <i n="[Data].[Quarter].&amp;[Q4]" c="Q4"/>
            </range>
          </ranges>
        </level>
      </levels>
      <selections count="1">
        <selection n="[Data].[Quarter].[All]"/>
      </selections>
    </olap>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81FB084A-0501-4CFB-B134-EE8412BDBC14}" sourceName="[Data].[Region]">
  <pivotTables>
    <pivotTable tabId="34" name="PivotTable16"/>
    <pivotTable tabId="34" name=" region"/>
    <pivotTable tabId="34" name="% of SALES FOR category"/>
    <pivotTable tabId="34" name="Avg Sales for Each country"/>
    <pivotTable tabId="34" name="No of order ID"/>
    <pivotTable tabId="34" name="No of Sales for each region"/>
    <pivotTable tabId="34" name="PivotTable11"/>
    <pivotTable tabId="34" name="PivotTable12"/>
    <pivotTable tabId="34" name="PivotTable13"/>
    <pivotTable tabId="34" name="PivotTable6"/>
    <pivotTable tabId="34" name="PivotTable9"/>
    <pivotTable tabId="34" name="Quarter"/>
    <pivotTable tabId="34" name="Total sales for country"/>
    <pivotTable tabId="34" name="Total Sales for each country/ category"/>
    <pivotTable tabId="34" name="Total sales for each region"/>
    <pivotTable tabId="34" name="Total sales over months"/>
  </pivotTables>
  <data>
    <olap pivotCacheId="151956618">
      <levels count="2">
        <level uniqueName="[Data].[Region].[(All)]" sourceCaption="(All)" count="0"/>
        <level uniqueName="[Data].[Region].[Region]" sourceCaption="Region" count="4">
          <ranges>
            <range startItem="0">
              <i n="[Data].[Region].&amp;[East]" c="East"/>
              <i n="[Data].[Region].&amp;[North]" c="North"/>
              <i n="[Data].[Region].&amp;[South]" c="South"/>
              <i n="[Data].[Region].&amp;[West]" c="West"/>
            </range>
          </ranges>
        </level>
      </levels>
      <selections count="1">
        <selection n="[Data].[Reg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2" xr10:uid="{FDC192E3-68F2-4BDE-9B25-BB7131EDB85D}" cache="Slicer_Country1" caption="Country" level="1" rowHeight="365760"/>
  <slicer name="Category 2" xr10:uid="{9C03B657-891D-4E3D-B009-BDFF642A7091}" cache="Slicer_Category1" caption="Category" columnCount="2" level="1" rowHeight="548640"/>
  <slicer name="Year" xr10:uid="{2CBAC714-996C-47B3-A7B1-62C9D8195529}" cache="Slicer_Year" caption="Year" columnCount="2" level="1" rowHeight="548640"/>
  <slicer name="Quarter 2" xr10:uid="{4DA24111-B17C-4951-B179-6D1F6CD902ED}" cache="Slicer_Quarter1" caption="Quarter" level="1" rowHeight="457200"/>
  <slicer name="Region 2" xr10:uid="{E2E86F98-EADF-4CD3-A369-47DE3B5C82C8}" cache="Slicer_Region1" caption="Region" level="1" rowHeight="82296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Quarter" xr10:uid="{E6106B64-CD95-40EB-8AC4-2E04BC852389}" cache="Slicer_Quarter" caption="Quarter" columnCount="4" style="SlicerStyleDark1" rowHeight="241300"/>
  <slicer name="Category" xr10:uid="{3E84B7C4-54C0-4DD2-B988-BFE246406E8B}" cache="Slicer_Category" caption="Category" style="SlicerStyleDark1" rowHeight="241300"/>
  <slicer name="Product" xr10:uid="{3FBFFCFB-65FD-4ED1-B67C-A06E5E4A51DD}" cache="Slicer_Product" caption="Product" columnCount="7" style="SlicerStyleDark1" rowHeight="241300"/>
  <slicer name="Country" xr10:uid="{218D152A-FCEE-4CB7-A69B-FF052B2C705D}" cache="Slicer_Country" caption="Country" columnCount="8" style="SlicerStyleDark1" rowHeight="241300"/>
  <slicer name="Region" xr10:uid="{5EC4095C-E732-48AC-818D-CEA15C7170FF}" cache="Slicer_Region" caption="Region" style="SlicerStyleDark1"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Quarter 1" xr10:uid="{D19D4333-BE55-48CD-A79E-B96610BDCB5D}" cache="Slicer_Quarter" caption="Quarter" columnCount="4" style="SlicerStyleDark1" rowHeight="241300"/>
  <slicer name="Category 1" xr10:uid="{E55FAF10-3CF4-47F2-8E9C-0C4135ABC621}" cache="Slicer_Category" caption="Category" style="SlicerStyleDark1" rowHeight="241300"/>
  <slicer name="Product 1" xr10:uid="{A1EF0C25-6B7D-4502-B065-2DFDEF723CF5}" cache="Slicer_Product" caption="Product" columnCount="7" style="SlicerStyleDark1" rowHeight="241300"/>
  <slicer name="Country 1" xr10:uid="{A123ACB3-2247-4555-B6C2-BAE3887F3D77}" cache="Slicer_Country" caption="Country" columnCount="8" style="SlicerStyleDark1" rowHeight="241300"/>
  <slicer name="Region 1" xr10:uid="{C335A981-99A8-4A9F-B0D1-127BE7184212}" cache="Slicer_Region" caption="Region" style="SlicerStyleDark1" rowHeight="241300"/>
</slicers>
</file>

<file path=xl/tables/_rels/table3.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A2207F8-CEAC-4DFC-B085-D056A4BEDC2D}" name="Table3" displayName="Table3" ref="F3:G5" totalsRowShown="0" headerRowDxfId="60" headerRowBorderDxfId="59" tableBorderDxfId="58" totalsRowBorderDxfId="57">
  <autoFilter ref="F3:G5" xr:uid="{FA2207F8-CEAC-4DFC-B085-D056A4BEDC2D}"/>
  <tableColumns count="2">
    <tableColumn id="1" xr3:uid="{1B8A4254-1CD6-4D19-A863-788D3C66ED76}" name="Yes"/>
    <tableColumn id="2" xr3:uid="{4E9A80D1-01E3-4782-8E12-1780FD3B8BDC}" name="No"/>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DD106C7-0DBE-41D7-BA50-DD48456C1B14}" name="Data" displayName="Data" ref="A3:J217" headerRowDxfId="56" dataDxfId="54" headerRowBorderDxfId="55" tableBorderDxfId="53" totalsRowBorderDxfId="52">
  <autoFilter ref="A3:J217" xr:uid="{8769E7CF-5310-4BAC-BD5E-DB71C74A8076}"/>
  <tableColumns count="10">
    <tableColumn id="1" xr3:uid="{C83DDB93-9314-4062-BCAF-57405478BA9A}" name="Order ID" totalsRowLabel="Total" dataDxfId="51" totalsRowDxfId="50"/>
    <tableColumn id="2" xr3:uid="{129E5FCA-5C6A-4B1C-9D55-072CC7B292C4}" name="Date" dataDxfId="49" totalsRowDxfId="48"/>
    <tableColumn id="3" xr3:uid="{675F2C8D-2F7D-4223-8AAC-0AE4B877B7C7}" name="Product" dataDxfId="47" totalsRowDxfId="46"/>
    <tableColumn id="4" xr3:uid="{B15CF313-21A2-4FC4-9DF8-EBBD7B60396F}" name="Category" dataDxfId="45" totalsRowDxfId="44"/>
    <tableColumn id="5" xr3:uid="{337D841F-E0BB-4246-8555-F5C0884E9F9D}" name="Country" dataDxfId="43" totalsRowDxfId="42"/>
    <tableColumn id="6" xr3:uid="{6659AD77-CED6-428D-B713-6FCDFB3EF433}" name="Region" dataDxfId="41" totalsRowDxfId="40"/>
    <tableColumn id="7" xr3:uid="{59592590-158C-4C53-A97D-05060229F63A}" name="Month" dataDxfId="39" totalsRowDxfId="38"/>
    <tableColumn id="8" xr3:uid="{5602B837-2763-4032-87CD-93B086A5575A}" name="Year" dataDxfId="37" totalsRowDxfId="36"/>
    <tableColumn id="9" xr3:uid="{35AB1982-8FFA-4418-8D3C-45E15D5215A2}" name="Quarter" dataDxfId="35" totalsRowDxfId="34"/>
    <tableColumn id="10" xr3:uid="{2C6F02ED-4667-4C5D-9900-9E924056C661}" name="Amount" totalsRowFunction="sum" dataDxfId="33" totalsRowDxfId="32"/>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90FE8D5-2985-47F2-9FCB-D9A0EE269A66}" name="Table_ExternalData_15" displayName="Table_ExternalData_15" ref="A3:J217" tableType="queryTable" totalsRowShown="0">
  <autoFilter ref="A3:J217" xr:uid="{390FE8D5-2985-47F2-9FCB-D9A0EE269A66}"/>
  <tableColumns count="10">
    <tableColumn id="1" xr3:uid="{C0A0CDB6-BC20-44A4-A729-23D77D96E940}" uniqueName="1" name="Data[Order ID]" queryTableFieldId="1"/>
    <tableColumn id="2" xr3:uid="{AA7CE8E1-0614-4E57-AA3F-FCC2045F56CD}" uniqueName="2" name="Data[Date]" queryTableFieldId="2" dataDxfId="31"/>
    <tableColumn id="3" xr3:uid="{F0D43B2E-AB75-465F-9F25-D37F007CD86D}" uniqueName="3" name="Data[Product]" queryTableFieldId="3"/>
    <tableColumn id="4" xr3:uid="{DF2FD65D-1DAA-464F-A179-3E3CC686F9DE}" uniqueName="4" name="Data[Category]" queryTableFieldId="4"/>
    <tableColumn id="5" xr3:uid="{6546C6D0-CD44-4CD5-A34D-B96F32483AFB}" uniqueName="5" name="Data[Country]" queryTableFieldId="5"/>
    <tableColumn id="6" xr3:uid="{57051619-59B8-4EAC-ACB4-88D84961C69D}" uniqueName="6" name="Data[Region]" queryTableFieldId="6"/>
    <tableColumn id="7" xr3:uid="{1F450E68-EE60-421F-8C41-6549EC2F17A5}" uniqueName="7" name="Data[Month]" queryTableFieldId="7"/>
    <tableColumn id="8" xr3:uid="{ADE3131D-DD65-4B88-889D-5D57D0AA43BB}" uniqueName="8" name="Data[Year]" queryTableFieldId="8"/>
    <tableColumn id="9" xr3:uid="{4D02AAC8-2BF2-49DF-AF68-FAFF65F79DAA}" uniqueName="9" name="Data[Quarter]" queryTableFieldId="9"/>
    <tableColumn id="10" xr3:uid="{EF300CC6-11DD-4F4D-9587-1BEC000ADEEC}" uniqueName="10" name="Data[Amount]" queryTableFieldId="1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3.xml"/></Relationships>
</file>

<file path=xl/worksheets/_rels/sheet6.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0.xml.rels><?xml version="1.0" encoding="UTF-8" standalone="yes"?>
<Relationships xmlns="http://schemas.openxmlformats.org/package/2006/relationships"><Relationship Id="rId8" Type="http://schemas.openxmlformats.org/officeDocument/2006/relationships/pivotTable" Target="../pivotTables/pivotTable21.xml"/><Relationship Id="rId13" Type="http://schemas.openxmlformats.org/officeDocument/2006/relationships/pivotTable" Target="../pivotTables/pivotTable26.xml"/><Relationship Id="rId3" Type="http://schemas.openxmlformats.org/officeDocument/2006/relationships/pivotTable" Target="../pivotTables/pivotTable16.xml"/><Relationship Id="rId7" Type="http://schemas.openxmlformats.org/officeDocument/2006/relationships/pivotTable" Target="../pivotTables/pivotTable20.xml"/><Relationship Id="rId12" Type="http://schemas.openxmlformats.org/officeDocument/2006/relationships/pivotTable" Target="../pivotTables/pivotTable25.xml"/><Relationship Id="rId17" Type="http://schemas.openxmlformats.org/officeDocument/2006/relationships/drawing" Target="../drawings/drawing5.xml"/><Relationship Id="rId2" Type="http://schemas.openxmlformats.org/officeDocument/2006/relationships/pivotTable" Target="../pivotTables/pivotTable15.xml"/><Relationship Id="rId16" Type="http://schemas.openxmlformats.org/officeDocument/2006/relationships/pivotTable" Target="../pivotTables/pivotTable29.xml"/><Relationship Id="rId1" Type="http://schemas.openxmlformats.org/officeDocument/2006/relationships/pivotTable" Target="../pivotTables/pivotTable14.xml"/><Relationship Id="rId6" Type="http://schemas.openxmlformats.org/officeDocument/2006/relationships/pivotTable" Target="../pivotTables/pivotTable19.xml"/><Relationship Id="rId11" Type="http://schemas.openxmlformats.org/officeDocument/2006/relationships/pivotTable" Target="../pivotTables/pivotTable24.xml"/><Relationship Id="rId5" Type="http://schemas.openxmlformats.org/officeDocument/2006/relationships/pivotTable" Target="../pivotTables/pivotTable18.xml"/><Relationship Id="rId15" Type="http://schemas.openxmlformats.org/officeDocument/2006/relationships/pivotTable" Target="../pivotTables/pivotTable28.xml"/><Relationship Id="rId10" Type="http://schemas.openxmlformats.org/officeDocument/2006/relationships/pivotTable" Target="../pivotTables/pivotTable23.xml"/><Relationship Id="rId4" Type="http://schemas.openxmlformats.org/officeDocument/2006/relationships/pivotTable" Target="../pivotTables/pivotTable17.xml"/><Relationship Id="rId9" Type="http://schemas.openxmlformats.org/officeDocument/2006/relationships/pivotTable" Target="../pivotTables/pivotTable22.xml"/><Relationship Id="rId14" Type="http://schemas.openxmlformats.org/officeDocument/2006/relationships/pivotTable" Target="../pivotTables/pivotTable27.xml"/></Relationships>
</file>

<file path=xl/worksheets/_rels/sheet12.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834BE-D7CE-4C67-918E-4FFD907ECD42}">
  <dimension ref="A1"/>
  <sheetViews>
    <sheetView showGridLines="0" tabSelected="1" zoomScale="30" zoomScaleNormal="30" workbookViewId="0">
      <selection activeCell="BT66" sqref="BT66"/>
    </sheetView>
  </sheetViews>
  <sheetFormatPr defaultRowHeight="14.4"/>
  <cols>
    <col min="1" max="16384" width="8.88671875" style="5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274E86-F615-4EC3-AA15-B43E792F4153}">
  <sheetPr>
    <tabColor theme="8" tint="-0.249977111117893"/>
  </sheetPr>
  <dimension ref="A1:J217"/>
  <sheetViews>
    <sheetView zoomScale="130" zoomScaleNormal="130" workbookViewId="0">
      <selection activeCell="E4" sqref="E4"/>
    </sheetView>
  </sheetViews>
  <sheetFormatPr defaultRowHeight="14.4"/>
  <cols>
    <col min="2" max="2" width="11.88671875" bestFit="1" customWidth="1"/>
    <col min="3" max="3" width="10" customWidth="1"/>
    <col min="4" max="4" width="11" bestFit="1" customWidth="1"/>
    <col min="5" max="5" width="12.5546875" bestFit="1" customWidth="1"/>
    <col min="7" max="7" width="10.88671875" bestFit="1" customWidth="1"/>
    <col min="8" max="8" width="8.109375" customWidth="1"/>
  </cols>
  <sheetData>
    <row r="1" spans="1:10" ht="18" thickBot="1">
      <c r="A1" s="43" t="s">
        <v>46</v>
      </c>
      <c r="B1" s="43"/>
      <c r="C1" s="43"/>
      <c r="D1" s="43"/>
      <c r="E1" s="43"/>
      <c r="F1" s="43"/>
      <c r="G1" s="43"/>
      <c r="H1" s="43"/>
      <c r="I1" s="43"/>
      <c r="J1" s="43"/>
    </row>
    <row r="2" spans="1:10" ht="15" thickTop="1"/>
    <row r="3" spans="1:10">
      <c r="A3" s="1" t="s">
        <v>21</v>
      </c>
      <c r="B3" s="3" t="s">
        <v>17</v>
      </c>
      <c r="C3" s="1" t="s">
        <v>20</v>
      </c>
      <c r="D3" s="1" t="s">
        <v>19</v>
      </c>
      <c r="E3" s="1" t="s">
        <v>16</v>
      </c>
      <c r="F3" s="1" t="s">
        <v>22</v>
      </c>
      <c r="G3" s="1" t="s">
        <v>23</v>
      </c>
      <c r="H3" s="1" t="s">
        <v>24</v>
      </c>
      <c r="I3" s="1" t="s">
        <v>25</v>
      </c>
      <c r="J3" s="1" t="s">
        <v>18</v>
      </c>
    </row>
    <row r="4" spans="1:10">
      <c r="A4" s="1">
        <v>1</v>
      </c>
      <c r="B4" s="3">
        <v>43661</v>
      </c>
      <c r="C4" s="1" t="s">
        <v>2</v>
      </c>
      <c r="D4" s="1" t="s">
        <v>1</v>
      </c>
      <c r="E4" s="1" t="s">
        <v>3</v>
      </c>
      <c r="F4" s="4" t="s">
        <v>26</v>
      </c>
      <c r="G4" s="1" t="s">
        <v>27</v>
      </c>
      <c r="H4" s="1">
        <v>2019</v>
      </c>
      <c r="I4" s="1" t="s">
        <v>28</v>
      </c>
      <c r="J4" s="2">
        <v>4270</v>
      </c>
    </row>
    <row r="5" spans="1:10">
      <c r="A5" s="1">
        <v>2</v>
      </c>
      <c r="B5" s="3">
        <v>43665</v>
      </c>
      <c r="C5" s="1" t="s">
        <v>14</v>
      </c>
      <c r="D5" s="1" t="s">
        <v>1</v>
      </c>
      <c r="E5" s="1" t="s">
        <v>12</v>
      </c>
      <c r="F5" s="4" t="s">
        <v>29</v>
      </c>
      <c r="G5" s="1" t="s">
        <v>27</v>
      </c>
      <c r="H5" s="1">
        <v>2019</v>
      </c>
      <c r="I5" s="1" t="s">
        <v>28</v>
      </c>
      <c r="J5" s="2">
        <v>8239</v>
      </c>
    </row>
    <row r="6" spans="1:10">
      <c r="A6" s="1">
        <v>3</v>
      </c>
      <c r="B6" s="3">
        <v>43672</v>
      </c>
      <c r="C6" s="1" t="s">
        <v>13</v>
      </c>
      <c r="D6" s="1" t="s">
        <v>4</v>
      </c>
      <c r="E6" s="1" t="s">
        <v>3</v>
      </c>
      <c r="F6" s="4" t="s">
        <v>29</v>
      </c>
      <c r="G6" s="1" t="s">
        <v>27</v>
      </c>
      <c r="H6" s="1">
        <v>2019</v>
      </c>
      <c r="I6" s="1" t="s">
        <v>28</v>
      </c>
      <c r="J6" s="2">
        <v>617</v>
      </c>
    </row>
    <row r="7" spans="1:10">
      <c r="A7" s="1">
        <v>4</v>
      </c>
      <c r="B7" s="3">
        <v>43688</v>
      </c>
      <c r="C7" s="1" t="s">
        <v>13</v>
      </c>
      <c r="D7" s="1" t="s">
        <v>4</v>
      </c>
      <c r="E7" s="1" t="s">
        <v>11</v>
      </c>
      <c r="F7" s="4" t="s">
        <v>30</v>
      </c>
      <c r="G7" s="1" t="s">
        <v>31</v>
      </c>
      <c r="H7" s="1">
        <v>2019</v>
      </c>
      <c r="I7" s="1" t="s">
        <v>28</v>
      </c>
      <c r="J7" s="2">
        <v>8384</v>
      </c>
    </row>
    <row r="8" spans="1:10">
      <c r="A8" s="1">
        <v>5</v>
      </c>
      <c r="B8" s="3">
        <v>43692</v>
      </c>
      <c r="C8" s="1" t="s">
        <v>7</v>
      </c>
      <c r="D8" s="1" t="s">
        <v>1</v>
      </c>
      <c r="E8" s="1" t="s">
        <v>9</v>
      </c>
      <c r="F8" s="4" t="s">
        <v>32</v>
      </c>
      <c r="G8" s="1" t="s">
        <v>31</v>
      </c>
      <c r="H8" s="1">
        <v>2019</v>
      </c>
      <c r="I8" s="1" t="s">
        <v>28</v>
      </c>
      <c r="J8" s="2">
        <v>2626</v>
      </c>
    </row>
    <row r="9" spans="1:10">
      <c r="A9" s="1">
        <v>6</v>
      </c>
      <c r="B9" s="3">
        <v>43699</v>
      </c>
      <c r="C9" s="1" t="s">
        <v>5</v>
      </c>
      <c r="D9" s="1" t="s">
        <v>4</v>
      </c>
      <c r="E9" s="1" t="s">
        <v>3</v>
      </c>
      <c r="F9" s="4" t="s">
        <v>26</v>
      </c>
      <c r="G9" s="1" t="s">
        <v>31</v>
      </c>
      <c r="H9" s="1">
        <v>2019</v>
      </c>
      <c r="I9" s="1" t="s">
        <v>28</v>
      </c>
      <c r="J9" s="2">
        <v>3610</v>
      </c>
    </row>
    <row r="10" spans="1:10">
      <c r="A10" s="1">
        <v>7</v>
      </c>
      <c r="B10" s="3">
        <v>43701</v>
      </c>
      <c r="C10" s="1" t="s">
        <v>14</v>
      </c>
      <c r="D10" s="1" t="s">
        <v>1</v>
      </c>
      <c r="E10" s="1" t="s">
        <v>0</v>
      </c>
      <c r="F10" s="4" t="s">
        <v>26</v>
      </c>
      <c r="G10" s="1" t="s">
        <v>31</v>
      </c>
      <c r="H10" s="1">
        <v>2019</v>
      </c>
      <c r="I10" s="1" t="s">
        <v>28</v>
      </c>
      <c r="J10" s="2">
        <v>9062</v>
      </c>
    </row>
    <row r="11" spans="1:10">
      <c r="A11" s="1">
        <v>8</v>
      </c>
      <c r="B11" s="3">
        <v>43723</v>
      </c>
      <c r="C11" s="1" t="s">
        <v>13</v>
      </c>
      <c r="D11" s="1" t="s">
        <v>4</v>
      </c>
      <c r="E11" s="1" t="s">
        <v>10</v>
      </c>
      <c r="F11" s="4" t="s">
        <v>29</v>
      </c>
      <c r="G11" s="1" t="s">
        <v>33</v>
      </c>
      <c r="H11" s="1">
        <v>2019</v>
      </c>
      <c r="I11" s="1" t="s">
        <v>28</v>
      </c>
      <c r="J11" s="2">
        <v>6906</v>
      </c>
    </row>
    <row r="12" spans="1:10">
      <c r="A12" s="1">
        <v>9</v>
      </c>
      <c r="B12" s="3">
        <v>43725</v>
      </c>
      <c r="C12" s="1" t="s">
        <v>8</v>
      </c>
      <c r="D12" s="1" t="s">
        <v>4</v>
      </c>
      <c r="E12" s="1" t="s">
        <v>6</v>
      </c>
      <c r="F12" s="4" t="s">
        <v>32</v>
      </c>
      <c r="G12" s="1" t="s">
        <v>33</v>
      </c>
      <c r="H12" s="1">
        <v>2019</v>
      </c>
      <c r="I12" s="1" t="s">
        <v>28</v>
      </c>
      <c r="J12" s="2">
        <v>2417</v>
      </c>
    </row>
    <row r="13" spans="1:10">
      <c r="A13" s="1">
        <v>10</v>
      </c>
      <c r="B13" s="3">
        <v>43754</v>
      </c>
      <c r="C13" s="1" t="s">
        <v>8</v>
      </c>
      <c r="D13" s="1" t="s">
        <v>4</v>
      </c>
      <c r="E13" s="1" t="s">
        <v>11</v>
      </c>
      <c r="F13" s="4" t="s">
        <v>26</v>
      </c>
      <c r="G13" s="1" t="s">
        <v>34</v>
      </c>
      <c r="H13" s="1">
        <v>2019</v>
      </c>
      <c r="I13" s="1" t="s">
        <v>35</v>
      </c>
      <c r="J13" s="2">
        <v>7431</v>
      </c>
    </row>
    <row r="14" spans="1:10">
      <c r="A14" s="1">
        <v>11</v>
      </c>
      <c r="B14" s="3">
        <v>43763</v>
      </c>
      <c r="C14" s="1" t="s">
        <v>13</v>
      </c>
      <c r="D14" s="1" t="s">
        <v>4</v>
      </c>
      <c r="E14" s="1" t="s">
        <v>9</v>
      </c>
      <c r="F14" s="4" t="s">
        <v>29</v>
      </c>
      <c r="G14" s="1" t="s">
        <v>34</v>
      </c>
      <c r="H14" s="1">
        <v>2019</v>
      </c>
      <c r="I14" s="1" t="s">
        <v>35</v>
      </c>
      <c r="J14" s="2">
        <v>8250</v>
      </c>
    </row>
    <row r="15" spans="1:10">
      <c r="A15" s="1">
        <v>12</v>
      </c>
      <c r="B15" s="3">
        <v>43774</v>
      </c>
      <c r="C15" s="1" t="s">
        <v>14</v>
      </c>
      <c r="D15" s="1" t="s">
        <v>1</v>
      </c>
      <c r="E15" s="1" t="s">
        <v>3</v>
      </c>
      <c r="F15" s="4" t="s">
        <v>26</v>
      </c>
      <c r="G15" s="1" t="s">
        <v>36</v>
      </c>
      <c r="H15" s="1">
        <v>2019</v>
      </c>
      <c r="I15" s="1" t="s">
        <v>35</v>
      </c>
      <c r="J15" s="2">
        <v>7012</v>
      </c>
    </row>
    <row r="16" spans="1:10">
      <c r="A16" s="1">
        <v>13</v>
      </c>
      <c r="B16" s="3">
        <v>43788</v>
      </c>
      <c r="C16" s="1" t="s">
        <v>2</v>
      </c>
      <c r="D16" s="1" t="s">
        <v>1</v>
      </c>
      <c r="E16" s="1" t="s">
        <v>9</v>
      </c>
      <c r="F16" s="4" t="s">
        <v>29</v>
      </c>
      <c r="G16" s="1" t="s">
        <v>36</v>
      </c>
      <c r="H16" s="1">
        <v>2019</v>
      </c>
      <c r="I16" s="1" t="s">
        <v>35</v>
      </c>
      <c r="J16" s="2">
        <v>1903</v>
      </c>
    </row>
    <row r="17" spans="1:10">
      <c r="A17" s="1">
        <v>14</v>
      </c>
      <c r="B17" s="3">
        <v>43796</v>
      </c>
      <c r="C17" s="1" t="s">
        <v>14</v>
      </c>
      <c r="D17" s="1" t="s">
        <v>1</v>
      </c>
      <c r="E17" s="1" t="s">
        <v>11</v>
      </c>
      <c r="F17" s="4" t="s">
        <v>32</v>
      </c>
      <c r="G17" s="1" t="s">
        <v>36</v>
      </c>
      <c r="H17" s="1">
        <v>2019</v>
      </c>
      <c r="I17" s="1" t="s">
        <v>35</v>
      </c>
      <c r="J17" s="2">
        <v>2824</v>
      </c>
    </row>
    <row r="18" spans="1:10">
      <c r="A18" s="1">
        <v>15</v>
      </c>
      <c r="B18" s="3">
        <v>43794</v>
      </c>
      <c r="C18" s="1" t="s">
        <v>8</v>
      </c>
      <c r="D18" s="1" t="s">
        <v>4</v>
      </c>
      <c r="E18" s="1" t="s">
        <v>6</v>
      </c>
      <c r="F18" s="4" t="s">
        <v>26</v>
      </c>
      <c r="G18" s="1" t="s">
        <v>36</v>
      </c>
      <c r="H18" s="1">
        <v>2019</v>
      </c>
      <c r="I18" s="1" t="s">
        <v>35</v>
      </c>
      <c r="J18" s="2">
        <v>6946</v>
      </c>
    </row>
    <row r="19" spans="1:10">
      <c r="A19" s="1">
        <v>16</v>
      </c>
      <c r="B19" s="3">
        <v>43798</v>
      </c>
      <c r="C19" s="1" t="s">
        <v>13</v>
      </c>
      <c r="D19" s="1" t="s">
        <v>4</v>
      </c>
      <c r="E19" s="1" t="s">
        <v>12</v>
      </c>
      <c r="F19" s="4" t="s">
        <v>30</v>
      </c>
      <c r="G19" s="1" t="s">
        <v>36</v>
      </c>
      <c r="H19" s="1">
        <v>2019</v>
      </c>
      <c r="I19" s="1" t="s">
        <v>35</v>
      </c>
      <c r="J19" s="2">
        <v>2320</v>
      </c>
    </row>
    <row r="20" spans="1:10">
      <c r="A20" s="1">
        <v>17</v>
      </c>
      <c r="B20" s="3">
        <v>43824</v>
      </c>
      <c r="C20" s="1" t="s">
        <v>13</v>
      </c>
      <c r="D20" s="1" t="s">
        <v>4</v>
      </c>
      <c r="E20" s="1" t="s">
        <v>3</v>
      </c>
      <c r="F20" s="4" t="s">
        <v>30</v>
      </c>
      <c r="G20" s="1" t="s">
        <v>37</v>
      </c>
      <c r="H20" s="1">
        <v>2019</v>
      </c>
      <c r="I20" s="1" t="s">
        <v>35</v>
      </c>
      <c r="J20" s="2">
        <v>2116</v>
      </c>
    </row>
    <row r="21" spans="1:10">
      <c r="A21" s="1">
        <v>18</v>
      </c>
      <c r="B21" s="3">
        <v>43826</v>
      </c>
      <c r="C21" s="1" t="s">
        <v>13</v>
      </c>
      <c r="D21" s="1" t="s">
        <v>4</v>
      </c>
      <c r="E21" s="1" t="s">
        <v>12</v>
      </c>
      <c r="F21" s="4" t="s">
        <v>30</v>
      </c>
      <c r="G21" s="1" t="s">
        <v>37</v>
      </c>
      <c r="H21" s="1">
        <v>2019</v>
      </c>
      <c r="I21" s="1" t="s">
        <v>35</v>
      </c>
      <c r="J21" s="2">
        <v>1135</v>
      </c>
    </row>
    <row r="22" spans="1:10">
      <c r="A22" s="1">
        <v>19</v>
      </c>
      <c r="B22" s="3">
        <v>43829</v>
      </c>
      <c r="C22" s="1" t="s">
        <v>14</v>
      </c>
      <c r="D22" s="1" t="s">
        <v>1</v>
      </c>
      <c r="E22" s="1" t="s">
        <v>12</v>
      </c>
      <c r="F22" s="4" t="s">
        <v>29</v>
      </c>
      <c r="G22" s="1" t="s">
        <v>37</v>
      </c>
      <c r="H22" s="1">
        <v>2019</v>
      </c>
      <c r="I22" s="1" t="s">
        <v>35</v>
      </c>
      <c r="J22" s="2">
        <v>3595</v>
      </c>
    </row>
    <row r="23" spans="1:10">
      <c r="A23" s="1">
        <v>20</v>
      </c>
      <c r="B23" s="3">
        <v>43845</v>
      </c>
      <c r="C23" s="1" t="s">
        <v>8</v>
      </c>
      <c r="D23" s="1" t="s">
        <v>4</v>
      </c>
      <c r="E23" s="1" t="s">
        <v>3</v>
      </c>
      <c r="F23" s="4" t="s">
        <v>26</v>
      </c>
      <c r="G23" s="1" t="s">
        <v>38</v>
      </c>
      <c r="H23" s="1">
        <v>2020</v>
      </c>
      <c r="I23" s="1" t="s">
        <v>39</v>
      </c>
      <c r="J23" s="2">
        <v>1161</v>
      </c>
    </row>
    <row r="24" spans="1:10">
      <c r="A24" s="1">
        <v>21</v>
      </c>
      <c r="B24" s="3">
        <v>43855</v>
      </c>
      <c r="C24" s="1" t="s">
        <v>5</v>
      </c>
      <c r="D24" s="1" t="s">
        <v>4</v>
      </c>
      <c r="E24" s="1" t="s">
        <v>6</v>
      </c>
      <c r="F24" s="4" t="s">
        <v>30</v>
      </c>
      <c r="G24" s="1" t="s">
        <v>38</v>
      </c>
      <c r="H24" s="1">
        <v>2020</v>
      </c>
      <c r="I24" s="1" t="s">
        <v>39</v>
      </c>
      <c r="J24" s="2">
        <v>2256</v>
      </c>
    </row>
    <row r="25" spans="1:10">
      <c r="A25" s="1">
        <v>22</v>
      </c>
      <c r="B25" s="3">
        <v>43859</v>
      </c>
      <c r="C25" s="1" t="s">
        <v>13</v>
      </c>
      <c r="D25" s="1" t="s">
        <v>4</v>
      </c>
      <c r="E25" s="1" t="s">
        <v>10</v>
      </c>
      <c r="F25" s="1" t="s">
        <v>26</v>
      </c>
      <c r="G25" s="1" t="s">
        <v>38</v>
      </c>
      <c r="H25" s="1">
        <v>2020</v>
      </c>
      <c r="I25" s="1" t="s">
        <v>39</v>
      </c>
      <c r="J25" s="2">
        <v>1004</v>
      </c>
    </row>
    <row r="26" spans="1:10">
      <c r="A26" s="1">
        <v>23</v>
      </c>
      <c r="B26" s="3">
        <v>43831</v>
      </c>
      <c r="C26" s="1" t="s">
        <v>13</v>
      </c>
      <c r="D26" s="1" t="s">
        <v>4</v>
      </c>
      <c r="E26" s="1" t="s">
        <v>11</v>
      </c>
      <c r="F26" s="1" t="s">
        <v>29</v>
      </c>
      <c r="G26" s="1" t="s">
        <v>38</v>
      </c>
      <c r="H26" s="1">
        <v>2020</v>
      </c>
      <c r="I26" s="1" t="s">
        <v>39</v>
      </c>
      <c r="J26" s="2">
        <v>3642</v>
      </c>
    </row>
    <row r="27" spans="1:10">
      <c r="A27" s="1">
        <v>24</v>
      </c>
      <c r="B27" s="3">
        <v>43832</v>
      </c>
      <c r="C27" s="1" t="s">
        <v>13</v>
      </c>
      <c r="D27" s="1" t="s">
        <v>4</v>
      </c>
      <c r="E27" s="1" t="s">
        <v>3</v>
      </c>
      <c r="F27" s="1" t="s">
        <v>26</v>
      </c>
      <c r="G27" s="1" t="s">
        <v>38</v>
      </c>
      <c r="H27" s="1">
        <v>2020</v>
      </c>
      <c r="I27" s="1" t="s">
        <v>39</v>
      </c>
      <c r="J27" s="2">
        <v>4582</v>
      </c>
    </row>
    <row r="28" spans="1:10">
      <c r="A28" s="1">
        <v>25</v>
      </c>
      <c r="B28" s="3">
        <v>43832</v>
      </c>
      <c r="C28" s="1" t="s">
        <v>7</v>
      </c>
      <c r="D28" s="1" t="s">
        <v>1</v>
      </c>
      <c r="E28" s="1" t="s">
        <v>12</v>
      </c>
      <c r="F28" s="1" t="s">
        <v>29</v>
      </c>
      <c r="G28" s="1" t="s">
        <v>38</v>
      </c>
      <c r="H28" s="1">
        <v>2020</v>
      </c>
      <c r="I28" s="1" t="s">
        <v>39</v>
      </c>
      <c r="J28" s="2">
        <v>3559</v>
      </c>
    </row>
    <row r="29" spans="1:10">
      <c r="A29" s="1">
        <v>26</v>
      </c>
      <c r="B29" s="3">
        <v>43832</v>
      </c>
      <c r="C29" s="1" t="s">
        <v>2</v>
      </c>
      <c r="D29" s="1" t="s">
        <v>1</v>
      </c>
      <c r="E29" s="1" t="s">
        <v>0</v>
      </c>
      <c r="F29" s="1" t="s">
        <v>26</v>
      </c>
      <c r="G29" s="1" t="s">
        <v>38</v>
      </c>
      <c r="H29" s="1">
        <v>2020</v>
      </c>
      <c r="I29" s="1" t="s">
        <v>39</v>
      </c>
      <c r="J29" s="2">
        <v>5154</v>
      </c>
    </row>
    <row r="30" spans="1:10">
      <c r="A30" s="1">
        <v>27</v>
      </c>
      <c r="B30" s="3">
        <v>43833</v>
      </c>
      <c r="C30" s="1" t="s">
        <v>15</v>
      </c>
      <c r="D30" s="1" t="s">
        <v>4</v>
      </c>
      <c r="E30" s="1" t="s">
        <v>6</v>
      </c>
      <c r="F30" s="1" t="s">
        <v>26</v>
      </c>
      <c r="G30" s="1" t="s">
        <v>38</v>
      </c>
      <c r="H30" s="1">
        <v>2020</v>
      </c>
      <c r="I30" s="1" t="s">
        <v>39</v>
      </c>
      <c r="J30" s="2">
        <v>7388</v>
      </c>
    </row>
    <row r="31" spans="1:10">
      <c r="A31" s="1">
        <v>28</v>
      </c>
      <c r="B31" s="3">
        <v>43839</v>
      </c>
      <c r="C31" s="1" t="s">
        <v>7</v>
      </c>
      <c r="D31" s="1" t="s">
        <v>1</v>
      </c>
      <c r="E31" s="1" t="s">
        <v>3</v>
      </c>
      <c r="F31" s="1" t="s">
        <v>30</v>
      </c>
      <c r="G31" s="1" t="s">
        <v>38</v>
      </c>
      <c r="H31" s="1">
        <v>2020</v>
      </c>
      <c r="I31" s="1" t="s">
        <v>39</v>
      </c>
      <c r="J31" s="2">
        <v>7163</v>
      </c>
    </row>
    <row r="32" spans="1:10">
      <c r="A32" s="1">
        <v>29</v>
      </c>
      <c r="B32" s="3">
        <v>43839</v>
      </c>
      <c r="C32" s="1" t="s">
        <v>7</v>
      </c>
      <c r="D32" s="1" t="s">
        <v>1</v>
      </c>
      <c r="E32" s="1" t="s">
        <v>9</v>
      </c>
      <c r="F32" s="1" t="s">
        <v>26</v>
      </c>
      <c r="G32" s="1" t="s">
        <v>38</v>
      </c>
      <c r="H32" s="1">
        <v>2020</v>
      </c>
      <c r="I32" s="1" t="s">
        <v>39</v>
      </c>
      <c r="J32" s="2">
        <v>5101</v>
      </c>
    </row>
    <row r="33" spans="1:10">
      <c r="A33" s="1">
        <v>30</v>
      </c>
      <c r="B33" s="3">
        <v>43841</v>
      </c>
      <c r="C33" s="1" t="s">
        <v>8</v>
      </c>
      <c r="D33" s="1" t="s">
        <v>4</v>
      </c>
      <c r="E33" s="1" t="s">
        <v>6</v>
      </c>
      <c r="F33" s="1" t="s">
        <v>29</v>
      </c>
      <c r="G33" s="1" t="s">
        <v>38</v>
      </c>
      <c r="H33" s="1">
        <v>2020</v>
      </c>
      <c r="I33" s="1" t="s">
        <v>39</v>
      </c>
      <c r="J33" s="2">
        <v>7602</v>
      </c>
    </row>
    <row r="34" spans="1:10">
      <c r="A34" s="1">
        <v>31</v>
      </c>
      <c r="B34" s="3">
        <v>43841</v>
      </c>
      <c r="C34" s="1" t="s">
        <v>15</v>
      </c>
      <c r="D34" s="1" t="s">
        <v>4</v>
      </c>
      <c r="E34" s="1" t="s">
        <v>3</v>
      </c>
      <c r="F34" s="1" t="s">
        <v>26</v>
      </c>
      <c r="G34" s="1" t="s">
        <v>38</v>
      </c>
      <c r="H34" s="1">
        <v>2020</v>
      </c>
      <c r="I34" s="1" t="s">
        <v>39</v>
      </c>
      <c r="J34" s="2">
        <v>1641</v>
      </c>
    </row>
    <row r="35" spans="1:10">
      <c r="A35" s="1">
        <v>32</v>
      </c>
      <c r="B35" s="3">
        <v>43842</v>
      </c>
      <c r="C35" s="1" t="s">
        <v>8</v>
      </c>
      <c r="D35" s="1" t="s">
        <v>4</v>
      </c>
      <c r="E35" s="1" t="s">
        <v>0</v>
      </c>
      <c r="F35" s="1" t="s">
        <v>32</v>
      </c>
      <c r="G35" s="1" t="s">
        <v>38</v>
      </c>
      <c r="H35" s="1">
        <v>2020</v>
      </c>
      <c r="I35" s="1" t="s">
        <v>39</v>
      </c>
      <c r="J35" s="2">
        <v>8892</v>
      </c>
    </row>
    <row r="36" spans="1:10">
      <c r="A36" s="1">
        <v>33</v>
      </c>
      <c r="B36" s="3">
        <v>43842</v>
      </c>
      <c r="C36" s="1" t="s">
        <v>8</v>
      </c>
      <c r="D36" s="1" t="s">
        <v>4</v>
      </c>
      <c r="E36" s="1" t="s">
        <v>6</v>
      </c>
      <c r="F36" s="1" t="s">
        <v>32</v>
      </c>
      <c r="G36" s="1" t="s">
        <v>38</v>
      </c>
      <c r="H36" s="1">
        <v>2020</v>
      </c>
      <c r="I36" s="1" t="s">
        <v>39</v>
      </c>
      <c r="J36" s="2">
        <v>2060</v>
      </c>
    </row>
    <row r="37" spans="1:10">
      <c r="A37" s="1">
        <v>34</v>
      </c>
      <c r="B37" s="3">
        <v>43843</v>
      </c>
      <c r="C37" s="1" t="s">
        <v>14</v>
      </c>
      <c r="D37" s="1" t="s">
        <v>1</v>
      </c>
      <c r="E37" s="1" t="s">
        <v>9</v>
      </c>
      <c r="F37" s="1" t="s">
        <v>26</v>
      </c>
      <c r="G37" s="1" t="s">
        <v>38</v>
      </c>
      <c r="H37" s="1">
        <v>2020</v>
      </c>
      <c r="I37" s="1" t="s">
        <v>39</v>
      </c>
      <c r="J37" s="2">
        <v>1557</v>
      </c>
    </row>
    <row r="38" spans="1:10">
      <c r="A38" s="1">
        <v>35</v>
      </c>
      <c r="B38" s="3">
        <v>43843</v>
      </c>
      <c r="C38" s="1" t="s">
        <v>8</v>
      </c>
      <c r="D38" s="1" t="s">
        <v>4</v>
      </c>
      <c r="E38" s="1" t="s">
        <v>6</v>
      </c>
      <c r="F38" s="1" t="s">
        <v>29</v>
      </c>
      <c r="G38" s="1" t="s">
        <v>38</v>
      </c>
      <c r="H38" s="1">
        <v>2020</v>
      </c>
      <c r="I38" s="1" t="s">
        <v>39</v>
      </c>
      <c r="J38" s="2">
        <v>6509</v>
      </c>
    </row>
    <row r="39" spans="1:10">
      <c r="A39" s="1">
        <v>36</v>
      </c>
      <c r="B39" s="3">
        <v>43846</v>
      </c>
      <c r="C39" s="1" t="s">
        <v>8</v>
      </c>
      <c r="D39" s="1" t="s">
        <v>4</v>
      </c>
      <c r="E39" s="1" t="s">
        <v>0</v>
      </c>
      <c r="F39" s="1" t="s">
        <v>30</v>
      </c>
      <c r="G39" s="1" t="s">
        <v>38</v>
      </c>
      <c r="H39" s="1">
        <v>2020</v>
      </c>
      <c r="I39" s="1" t="s">
        <v>39</v>
      </c>
      <c r="J39" s="2">
        <v>5718</v>
      </c>
    </row>
    <row r="40" spans="1:10">
      <c r="A40" s="1">
        <v>37</v>
      </c>
      <c r="B40" s="3">
        <v>43846</v>
      </c>
      <c r="C40" s="1" t="s">
        <v>8</v>
      </c>
      <c r="D40" s="1" t="s">
        <v>4</v>
      </c>
      <c r="E40" s="1" t="s">
        <v>3</v>
      </c>
      <c r="F40" s="1" t="s">
        <v>30</v>
      </c>
      <c r="G40" s="1" t="s">
        <v>38</v>
      </c>
      <c r="H40" s="1">
        <v>2020</v>
      </c>
      <c r="I40" s="1" t="s">
        <v>39</v>
      </c>
      <c r="J40" s="2">
        <v>7655</v>
      </c>
    </row>
    <row r="41" spans="1:10">
      <c r="A41" s="1">
        <v>38</v>
      </c>
      <c r="B41" s="3">
        <v>43846</v>
      </c>
      <c r="C41" s="1" t="s">
        <v>2</v>
      </c>
      <c r="D41" s="1" t="s">
        <v>1</v>
      </c>
      <c r="E41" s="1" t="s">
        <v>12</v>
      </c>
      <c r="F41" s="1" t="s">
        <v>30</v>
      </c>
      <c r="G41" s="1" t="s">
        <v>38</v>
      </c>
      <c r="H41" s="1">
        <v>2020</v>
      </c>
      <c r="I41" s="1" t="s">
        <v>39</v>
      </c>
      <c r="J41" s="2">
        <v>9116</v>
      </c>
    </row>
    <row r="42" spans="1:10">
      <c r="A42" s="1">
        <v>39</v>
      </c>
      <c r="B42" s="3">
        <v>43846</v>
      </c>
      <c r="C42" s="1" t="s">
        <v>13</v>
      </c>
      <c r="D42" s="1" t="s">
        <v>4</v>
      </c>
      <c r="E42" s="1" t="s">
        <v>3</v>
      </c>
      <c r="F42" s="1" t="s">
        <v>26</v>
      </c>
      <c r="G42" s="1" t="s">
        <v>38</v>
      </c>
      <c r="H42" s="1">
        <v>2020</v>
      </c>
      <c r="I42" s="1" t="s">
        <v>39</v>
      </c>
      <c r="J42" s="2">
        <v>2795</v>
      </c>
    </row>
    <row r="43" spans="1:10">
      <c r="A43" s="1">
        <v>40</v>
      </c>
      <c r="B43" s="3">
        <v>43847</v>
      </c>
      <c r="C43" s="1" t="s">
        <v>13</v>
      </c>
      <c r="D43" s="1" t="s">
        <v>4</v>
      </c>
      <c r="E43" s="1" t="s">
        <v>3</v>
      </c>
      <c r="F43" s="1" t="s">
        <v>29</v>
      </c>
      <c r="G43" s="1" t="s">
        <v>38</v>
      </c>
      <c r="H43" s="1">
        <v>2020</v>
      </c>
      <c r="I43" s="1" t="s">
        <v>39</v>
      </c>
      <c r="J43" s="2">
        <v>5084</v>
      </c>
    </row>
    <row r="44" spans="1:10">
      <c r="A44" s="1">
        <v>41</v>
      </c>
      <c r="B44" s="3">
        <v>43853</v>
      </c>
      <c r="C44" s="1" t="s">
        <v>2</v>
      </c>
      <c r="D44" s="1" t="s">
        <v>1</v>
      </c>
      <c r="E44" s="1" t="s">
        <v>12</v>
      </c>
      <c r="F44" s="1" t="s">
        <v>32</v>
      </c>
      <c r="G44" s="1" t="s">
        <v>38</v>
      </c>
      <c r="H44" s="1">
        <v>2020</v>
      </c>
      <c r="I44" s="1" t="s">
        <v>39</v>
      </c>
      <c r="J44" s="2">
        <v>8941</v>
      </c>
    </row>
    <row r="45" spans="1:10">
      <c r="A45" s="1">
        <v>42</v>
      </c>
      <c r="B45" s="3">
        <v>43854</v>
      </c>
      <c r="C45" s="1" t="s">
        <v>14</v>
      </c>
      <c r="D45" s="1" t="s">
        <v>1</v>
      </c>
      <c r="E45" s="1" t="s">
        <v>6</v>
      </c>
      <c r="F45" s="1" t="s">
        <v>26</v>
      </c>
      <c r="G45" s="1" t="s">
        <v>38</v>
      </c>
      <c r="H45" s="1">
        <v>2020</v>
      </c>
      <c r="I45" s="1" t="s">
        <v>39</v>
      </c>
      <c r="J45" s="2">
        <v>5341</v>
      </c>
    </row>
    <row r="46" spans="1:10">
      <c r="A46" s="1">
        <v>43</v>
      </c>
      <c r="B46" s="3">
        <v>43856</v>
      </c>
      <c r="C46" s="1" t="s">
        <v>13</v>
      </c>
      <c r="D46" s="1" t="s">
        <v>4</v>
      </c>
      <c r="E46" s="1" t="s">
        <v>11</v>
      </c>
      <c r="F46" s="1" t="s">
        <v>30</v>
      </c>
      <c r="G46" s="1" t="s">
        <v>38</v>
      </c>
      <c r="H46" s="1">
        <v>2020</v>
      </c>
      <c r="I46" s="1" t="s">
        <v>39</v>
      </c>
      <c r="J46" s="2">
        <v>135</v>
      </c>
    </row>
    <row r="47" spans="1:10">
      <c r="A47" s="1">
        <v>44</v>
      </c>
      <c r="B47" s="3">
        <v>43856</v>
      </c>
      <c r="C47" s="1" t="s">
        <v>13</v>
      </c>
      <c r="D47" s="1" t="s">
        <v>4</v>
      </c>
      <c r="E47" s="1" t="s">
        <v>0</v>
      </c>
      <c r="F47" s="1" t="s">
        <v>26</v>
      </c>
      <c r="G47" s="1" t="s">
        <v>38</v>
      </c>
      <c r="H47" s="1">
        <v>2020</v>
      </c>
      <c r="I47" s="1" t="s">
        <v>39</v>
      </c>
      <c r="J47" s="2">
        <v>9400</v>
      </c>
    </row>
    <row r="48" spans="1:10">
      <c r="A48" s="1">
        <v>45</v>
      </c>
      <c r="B48" s="3">
        <v>43858</v>
      </c>
      <c r="C48" s="1" t="s">
        <v>7</v>
      </c>
      <c r="D48" s="1" t="s">
        <v>1</v>
      </c>
      <c r="E48" s="1" t="s">
        <v>9</v>
      </c>
      <c r="F48" s="1" t="s">
        <v>29</v>
      </c>
      <c r="G48" s="1" t="s">
        <v>38</v>
      </c>
      <c r="H48" s="1">
        <v>2020</v>
      </c>
      <c r="I48" s="1" t="s">
        <v>39</v>
      </c>
      <c r="J48" s="2">
        <v>6045</v>
      </c>
    </row>
    <row r="49" spans="1:10">
      <c r="A49" s="1">
        <v>46</v>
      </c>
      <c r="B49" s="3">
        <v>43862</v>
      </c>
      <c r="C49" s="1" t="s">
        <v>8</v>
      </c>
      <c r="D49" s="1" t="s">
        <v>4</v>
      </c>
      <c r="E49" s="1" t="s">
        <v>10</v>
      </c>
      <c r="F49" s="1" t="s">
        <v>32</v>
      </c>
      <c r="G49" s="1" t="s">
        <v>40</v>
      </c>
      <c r="H49" s="1">
        <v>2020</v>
      </c>
      <c r="I49" s="1" t="s">
        <v>39</v>
      </c>
      <c r="J49" s="2">
        <v>5820</v>
      </c>
    </row>
    <row r="50" spans="1:10">
      <c r="A50" s="1">
        <v>47</v>
      </c>
      <c r="B50" s="3">
        <v>43863</v>
      </c>
      <c r="C50" s="1" t="s">
        <v>5</v>
      </c>
      <c r="D50" s="1" t="s">
        <v>4</v>
      </c>
      <c r="E50" s="1" t="s">
        <v>9</v>
      </c>
      <c r="F50" s="1" t="s">
        <v>26</v>
      </c>
      <c r="G50" s="1" t="s">
        <v>40</v>
      </c>
      <c r="H50" s="1">
        <v>2020</v>
      </c>
      <c r="I50" s="1" t="s">
        <v>39</v>
      </c>
      <c r="J50" s="2">
        <v>8887</v>
      </c>
    </row>
    <row r="51" spans="1:10">
      <c r="A51" s="1">
        <v>48</v>
      </c>
      <c r="B51" s="3">
        <v>43864</v>
      </c>
      <c r="C51" s="1" t="s">
        <v>5</v>
      </c>
      <c r="D51" s="1" t="s">
        <v>4</v>
      </c>
      <c r="E51" s="1" t="s">
        <v>3</v>
      </c>
      <c r="F51" s="1" t="s">
        <v>29</v>
      </c>
      <c r="G51" s="1" t="s">
        <v>40</v>
      </c>
      <c r="H51" s="1">
        <v>2020</v>
      </c>
      <c r="I51" s="1" t="s">
        <v>39</v>
      </c>
      <c r="J51" s="2">
        <v>6982</v>
      </c>
    </row>
    <row r="52" spans="1:10">
      <c r="A52" s="1">
        <v>49</v>
      </c>
      <c r="B52" s="3">
        <v>43871</v>
      </c>
      <c r="C52" s="1" t="s">
        <v>13</v>
      </c>
      <c r="D52" s="1" t="s">
        <v>4</v>
      </c>
      <c r="E52" s="1" t="s">
        <v>0</v>
      </c>
      <c r="F52" s="1" t="s">
        <v>26</v>
      </c>
      <c r="G52" s="1" t="s">
        <v>40</v>
      </c>
      <c r="H52" s="1">
        <v>2020</v>
      </c>
      <c r="I52" s="1" t="s">
        <v>39</v>
      </c>
      <c r="J52" s="2">
        <v>4029</v>
      </c>
    </row>
    <row r="53" spans="1:10">
      <c r="A53" s="1">
        <v>50</v>
      </c>
      <c r="B53" s="3">
        <v>43871</v>
      </c>
      <c r="C53" s="1" t="s">
        <v>2</v>
      </c>
      <c r="D53" s="1" t="s">
        <v>1</v>
      </c>
      <c r="E53" s="1" t="s">
        <v>9</v>
      </c>
      <c r="F53" s="1" t="s">
        <v>32</v>
      </c>
      <c r="G53" s="1" t="s">
        <v>40</v>
      </c>
      <c r="H53" s="1">
        <v>2020</v>
      </c>
      <c r="I53" s="1" t="s">
        <v>39</v>
      </c>
      <c r="J53" s="2">
        <v>3665</v>
      </c>
    </row>
    <row r="54" spans="1:10">
      <c r="A54" s="1">
        <v>51</v>
      </c>
      <c r="B54" s="3">
        <v>43875</v>
      </c>
      <c r="C54" s="1" t="s">
        <v>13</v>
      </c>
      <c r="D54" s="1" t="s">
        <v>4</v>
      </c>
      <c r="E54" s="1" t="s">
        <v>6</v>
      </c>
      <c r="F54" s="1" t="s">
        <v>26</v>
      </c>
      <c r="G54" s="1" t="s">
        <v>40</v>
      </c>
      <c r="H54" s="1">
        <v>2020</v>
      </c>
      <c r="I54" s="1" t="s">
        <v>39</v>
      </c>
      <c r="J54" s="2">
        <v>4781</v>
      </c>
    </row>
    <row r="55" spans="1:10">
      <c r="A55" s="1">
        <v>52</v>
      </c>
      <c r="B55" s="3">
        <v>43876</v>
      </c>
      <c r="C55" s="1" t="s">
        <v>15</v>
      </c>
      <c r="D55" s="1" t="s">
        <v>4</v>
      </c>
      <c r="E55" s="1" t="s">
        <v>0</v>
      </c>
      <c r="F55" s="1" t="s">
        <v>30</v>
      </c>
      <c r="G55" s="1" t="s">
        <v>40</v>
      </c>
      <c r="H55" s="1">
        <v>2020</v>
      </c>
      <c r="I55" s="1" t="s">
        <v>39</v>
      </c>
      <c r="J55" s="2">
        <v>3663</v>
      </c>
    </row>
    <row r="56" spans="1:10">
      <c r="A56" s="1">
        <v>53</v>
      </c>
      <c r="B56" s="3">
        <v>43878</v>
      </c>
      <c r="C56" s="1" t="s">
        <v>8</v>
      </c>
      <c r="D56" s="1" t="s">
        <v>4</v>
      </c>
      <c r="E56" s="1" t="s">
        <v>6</v>
      </c>
      <c r="F56" s="1" t="s">
        <v>29</v>
      </c>
      <c r="G56" s="1" t="s">
        <v>40</v>
      </c>
      <c r="H56" s="1">
        <v>2020</v>
      </c>
      <c r="I56" s="1" t="s">
        <v>39</v>
      </c>
      <c r="J56" s="2">
        <v>6331</v>
      </c>
    </row>
    <row r="57" spans="1:10">
      <c r="A57" s="1">
        <v>54</v>
      </c>
      <c r="B57" s="3">
        <v>43880</v>
      </c>
      <c r="C57" s="1" t="s">
        <v>8</v>
      </c>
      <c r="D57" s="1" t="s">
        <v>4</v>
      </c>
      <c r="E57" s="1" t="s">
        <v>11</v>
      </c>
      <c r="F57" s="1" t="s">
        <v>26</v>
      </c>
      <c r="G57" s="1" t="s">
        <v>40</v>
      </c>
      <c r="H57" s="1">
        <v>2020</v>
      </c>
      <c r="I57" s="1" t="s">
        <v>39</v>
      </c>
      <c r="J57" s="2">
        <v>4364</v>
      </c>
    </row>
    <row r="58" spans="1:10">
      <c r="A58" s="1">
        <v>55</v>
      </c>
      <c r="B58" s="3">
        <v>43882</v>
      </c>
      <c r="C58" s="1" t="s">
        <v>2</v>
      </c>
      <c r="D58" s="1" t="s">
        <v>1</v>
      </c>
      <c r="E58" s="1" t="s">
        <v>12</v>
      </c>
      <c r="F58" s="1" t="s">
        <v>26</v>
      </c>
      <c r="G58" s="1" t="s">
        <v>40</v>
      </c>
      <c r="H58" s="1">
        <v>2020</v>
      </c>
      <c r="I58" s="1" t="s">
        <v>39</v>
      </c>
      <c r="J58" s="2">
        <v>607</v>
      </c>
    </row>
    <row r="59" spans="1:10">
      <c r="A59" s="1">
        <v>56</v>
      </c>
      <c r="B59" s="3">
        <v>43883</v>
      </c>
      <c r="C59" s="1" t="s">
        <v>13</v>
      </c>
      <c r="D59" s="1" t="s">
        <v>4</v>
      </c>
      <c r="E59" s="1" t="s">
        <v>10</v>
      </c>
      <c r="F59" s="1" t="s">
        <v>29</v>
      </c>
      <c r="G59" s="1" t="s">
        <v>40</v>
      </c>
      <c r="H59" s="1">
        <v>2020</v>
      </c>
      <c r="I59" s="1" t="s">
        <v>39</v>
      </c>
      <c r="J59" s="2">
        <v>1054</v>
      </c>
    </row>
    <row r="60" spans="1:10">
      <c r="A60" s="1">
        <v>57</v>
      </c>
      <c r="B60" s="3">
        <v>43886</v>
      </c>
      <c r="C60" s="1" t="s">
        <v>2</v>
      </c>
      <c r="D60" s="1" t="s">
        <v>1</v>
      </c>
      <c r="E60" s="1" t="s">
        <v>3</v>
      </c>
      <c r="F60" s="1" t="s">
        <v>26</v>
      </c>
      <c r="G60" s="1" t="s">
        <v>40</v>
      </c>
      <c r="H60" s="1">
        <v>2020</v>
      </c>
      <c r="I60" s="1" t="s">
        <v>39</v>
      </c>
      <c r="J60" s="2">
        <v>7659</v>
      </c>
    </row>
    <row r="61" spans="1:10">
      <c r="A61" s="1">
        <v>58</v>
      </c>
      <c r="B61" s="3">
        <v>43886</v>
      </c>
      <c r="C61" s="1" t="s">
        <v>14</v>
      </c>
      <c r="D61" s="1" t="s">
        <v>1</v>
      </c>
      <c r="E61" s="1" t="s">
        <v>9</v>
      </c>
      <c r="F61" s="1" t="s">
        <v>29</v>
      </c>
      <c r="G61" s="1" t="s">
        <v>40</v>
      </c>
      <c r="H61" s="1">
        <v>2020</v>
      </c>
      <c r="I61" s="1" t="s">
        <v>39</v>
      </c>
      <c r="J61" s="2">
        <v>277</v>
      </c>
    </row>
    <row r="62" spans="1:10">
      <c r="A62" s="1">
        <v>59</v>
      </c>
      <c r="B62" s="3">
        <v>43887</v>
      </c>
      <c r="C62" s="1" t="s">
        <v>13</v>
      </c>
      <c r="D62" s="1" t="s">
        <v>4</v>
      </c>
      <c r="E62" s="1" t="s">
        <v>3</v>
      </c>
      <c r="F62" s="1" t="s">
        <v>30</v>
      </c>
      <c r="G62" s="1" t="s">
        <v>40</v>
      </c>
      <c r="H62" s="1">
        <v>2020</v>
      </c>
      <c r="I62" s="1" t="s">
        <v>39</v>
      </c>
      <c r="J62" s="2">
        <v>235</v>
      </c>
    </row>
    <row r="63" spans="1:10">
      <c r="A63" s="1">
        <v>60</v>
      </c>
      <c r="B63" s="3">
        <v>43887</v>
      </c>
      <c r="C63" s="1" t="s">
        <v>5</v>
      </c>
      <c r="D63" s="1" t="s">
        <v>4</v>
      </c>
      <c r="E63" s="1" t="s">
        <v>0</v>
      </c>
      <c r="F63" s="1" t="s">
        <v>26</v>
      </c>
      <c r="G63" s="1" t="s">
        <v>40</v>
      </c>
      <c r="H63" s="1">
        <v>2020</v>
      </c>
      <c r="I63" s="1" t="s">
        <v>39</v>
      </c>
      <c r="J63" s="2">
        <v>1113</v>
      </c>
    </row>
    <row r="64" spans="1:10">
      <c r="A64" s="1">
        <v>61</v>
      </c>
      <c r="B64" s="3">
        <v>43888</v>
      </c>
      <c r="C64" s="1" t="s">
        <v>8</v>
      </c>
      <c r="D64" s="1" t="s">
        <v>4</v>
      </c>
      <c r="E64" s="1" t="s">
        <v>3</v>
      </c>
      <c r="F64" s="1" t="s">
        <v>29</v>
      </c>
      <c r="G64" s="1" t="s">
        <v>40</v>
      </c>
      <c r="H64" s="1">
        <v>2020</v>
      </c>
      <c r="I64" s="1" t="s">
        <v>39</v>
      </c>
      <c r="J64" s="2">
        <v>1128</v>
      </c>
    </row>
    <row r="65" spans="1:10">
      <c r="A65" s="1">
        <v>62</v>
      </c>
      <c r="B65" s="3">
        <v>43888</v>
      </c>
      <c r="C65" s="1" t="s">
        <v>14</v>
      </c>
      <c r="D65" s="1" t="s">
        <v>1</v>
      </c>
      <c r="E65" s="1" t="s">
        <v>11</v>
      </c>
      <c r="F65" s="1" t="s">
        <v>30</v>
      </c>
      <c r="G65" s="1" t="s">
        <v>40</v>
      </c>
      <c r="H65" s="1">
        <v>2020</v>
      </c>
      <c r="I65" s="1" t="s">
        <v>39</v>
      </c>
      <c r="J65" s="2">
        <v>9231</v>
      </c>
    </row>
    <row r="66" spans="1:10">
      <c r="A66" s="1">
        <v>63</v>
      </c>
      <c r="B66" s="3">
        <v>43891</v>
      </c>
      <c r="C66" s="1" t="s">
        <v>13</v>
      </c>
      <c r="D66" s="1" t="s">
        <v>4</v>
      </c>
      <c r="E66" s="1" t="s">
        <v>3</v>
      </c>
      <c r="F66" s="1" t="s">
        <v>32</v>
      </c>
      <c r="G66" s="1" t="s">
        <v>41</v>
      </c>
      <c r="H66" s="1">
        <v>2020</v>
      </c>
      <c r="I66" s="1" t="s">
        <v>39</v>
      </c>
      <c r="J66" s="2">
        <v>4387</v>
      </c>
    </row>
    <row r="67" spans="1:10">
      <c r="A67" s="1">
        <v>64</v>
      </c>
      <c r="B67" s="3">
        <v>43892</v>
      </c>
      <c r="C67" s="1" t="s">
        <v>8</v>
      </c>
      <c r="D67" s="1" t="s">
        <v>4</v>
      </c>
      <c r="E67" s="1" t="s">
        <v>11</v>
      </c>
      <c r="F67" s="1" t="s">
        <v>29</v>
      </c>
      <c r="G67" s="1" t="s">
        <v>41</v>
      </c>
      <c r="H67" s="1">
        <v>2020</v>
      </c>
      <c r="I67" s="1" t="s">
        <v>39</v>
      </c>
      <c r="J67" s="2">
        <v>2763</v>
      </c>
    </row>
    <row r="68" spans="1:10">
      <c r="A68" s="1">
        <v>65</v>
      </c>
      <c r="B68" s="3">
        <v>43894</v>
      </c>
      <c r="C68" s="1" t="s">
        <v>13</v>
      </c>
      <c r="D68" s="1" t="s">
        <v>4</v>
      </c>
      <c r="E68" s="1" t="s">
        <v>12</v>
      </c>
      <c r="F68" s="1" t="s">
        <v>26</v>
      </c>
      <c r="G68" s="1" t="s">
        <v>41</v>
      </c>
      <c r="H68" s="1">
        <v>2020</v>
      </c>
      <c r="I68" s="1" t="s">
        <v>39</v>
      </c>
      <c r="J68" s="2">
        <v>7898</v>
      </c>
    </row>
    <row r="69" spans="1:10">
      <c r="A69" s="1">
        <v>66</v>
      </c>
      <c r="B69" s="3">
        <v>43894</v>
      </c>
      <c r="C69" s="1" t="s">
        <v>13</v>
      </c>
      <c r="D69" s="1" t="s">
        <v>4</v>
      </c>
      <c r="E69" s="1" t="s">
        <v>6</v>
      </c>
      <c r="F69" s="1" t="s">
        <v>26</v>
      </c>
      <c r="G69" s="1" t="s">
        <v>41</v>
      </c>
      <c r="H69" s="1">
        <v>2020</v>
      </c>
      <c r="I69" s="1" t="s">
        <v>39</v>
      </c>
      <c r="J69" s="2">
        <v>2427</v>
      </c>
    </row>
    <row r="70" spans="1:10">
      <c r="A70" s="1">
        <v>67</v>
      </c>
      <c r="B70" s="3">
        <v>43894</v>
      </c>
      <c r="C70" s="1" t="s">
        <v>13</v>
      </c>
      <c r="D70" s="1" t="s">
        <v>4</v>
      </c>
      <c r="E70" s="1" t="s">
        <v>10</v>
      </c>
      <c r="F70" s="1" t="s">
        <v>26</v>
      </c>
      <c r="G70" s="1" t="s">
        <v>41</v>
      </c>
      <c r="H70" s="1">
        <v>2020</v>
      </c>
      <c r="I70" s="1" t="s">
        <v>39</v>
      </c>
      <c r="J70" s="2">
        <v>8663</v>
      </c>
    </row>
    <row r="71" spans="1:10">
      <c r="A71" s="1">
        <v>68</v>
      </c>
      <c r="B71" s="3">
        <v>43897</v>
      </c>
      <c r="C71" s="1" t="s">
        <v>2</v>
      </c>
      <c r="D71" s="1" t="s">
        <v>1</v>
      </c>
      <c r="E71" s="1" t="s">
        <v>9</v>
      </c>
      <c r="F71" s="1" t="s">
        <v>32</v>
      </c>
      <c r="G71" s="1" t="s">
        <v>41</v>
      </c>
      <c r="H71" s="1">
        <v>2020</v>
      </c>
      <c r="I71" s="1" t="s">
        <v>39</v>
      </c>
      <c r="J71" s="2">
        <v>2789</v>
      </c>
    </row>
    <row r="72" spans="1:10">
      <c r="A72" s="1">
        <v>69</v>
      </c>
      <c r="B72" s="3">
        <v>43901</v>
      </c>
      <c r="C72" s="1" t="s">
        <v>13</v>
      </c>
      <c r="D72" s="1" t="s">
        <v>4</v>
      </c>
      <c r="E72" s="1" t="s">
        <v>3</v>
      </c>
      <c r="F72" s="1" t="s">
        <v>26</v>
      </c>
      <c r="G72" s="1" t="s">
        <v>41</v>
      </c>
      <c r="H72" s="1">
        <v>2020</v>
      </c>
      <c r="I72" s="1" t="s">
        <v>39</v>
      </c>
      <c r="J72" s="2">
        <v>4054</v>
      </c>
    </row>
    <row r="73" spans="1:10">
      <c r="A73" s="1">
        <v>70</v>
      </c>
      <c r="B73" s="3">
        <v>43903</v>
      </c>
      <c r="C73" s="1" t="s">
        <v>15</v>
      </c>
      <c r="D73" s="1" t="s">
        <v>4</v>
      </c>
      <c r="E73" s="1" t="s">
        <v>3</v>
      </c>
      <c r="F73" s="1" t="s">
        <v>26</v>
      </c>
      <c r="G73" s="1" t="s">
        <v>41</v>
      </c>
      <c r="H73" s="1">
        <v>2020</v>
      </c>
      <c r="I73" s="1" t="s">
        <v>39</v>
      </c>
      <c r="J73" s="2">
        <v>2262</v>
      </c>
    </row>
    <row r="74" spans="1:10">
      <c r="A74" s="1">
        <v>71</v>
      </c>
      <c r="B74" s="3">
        <v>43905</v>
      </c>
      <c r="C74" s="1" t="s">
        <v>15</v>
      </c>
      <c r="D74" s="1" t="s">
        <v>4</v>
      </c>
      <c r="E74" s="1" t="s">
        <v>12</v>
      </c>
      <c r="F74" s="1" t="s">
        <v>26</v>
      </c>
      <c r="G74" s="1" t="s">
        <v>41</v>
      </c>
      <c r="H74" s="1">
        <v>2020</v>
      </c>
      <c r="I74" s="1" t="s">
        <v>39</v>
      </c>
      <c r="J74" s="2">
        <v>5600</v>
      </c>
    </row>
    <row r="75" spans="1:10">
      <c r="A75" s="1">
        <v>72</v>
      </c>
      <c r="B75" s="3">
        <v>43906</v>
      </c>
      <c r="C75" s="1" t="s">
        <v>13</v>
      </c>
      <c r="D75" s="1" t="s">
        <v>4</v>
      </c>
      <c r="E75" s="1" t="s">
        <v>3</v>
      </c>
      <c r="F75" s="1" t="s">
        <v>26</v>
      </c>
      <c r="G75" s="1" t="s">
        <v>41</v>
      </c>
      <c r="H75" s="1">
        <v>2020</v>
      </c>
      <c r="I75" s="1" t="s">
        <v>39</v>
      </c>
      <c r="J75" s="2">
        <v>5787</v>
      </c>
    </row>
    <row r="76" spans="1:10">
      <c r="A76" s="1">
        <v>73</v>
      </c>
      <c r="B76" s="3">
        <v>43907</v>
      </c>
      <c r="C76" s="1" t="s">
        <v>5</v>
      </c>
      <c r="D76" s="1" t="s">
        <v>4</v>
      </c>
      <c r="E76" s="1" t="s">
        <v>11</v>
      </c>
      <c r="F76" s="1" t="s">
        <v>26</v>
      </c>
      <c r="G76" s="1" t="s">
        <v>41</v>
      </c>
      <c r="H76" s="1">
        <v>2020</v>
      </c>
      <c r="I76" s="1" t="s">
        <v>39</v>
      </c>
      <c r="J76" s="2">
        <v>6295</v>
      </c>
    </row>
    <row r="77" spans="1:10">
      <c r="A77" s="1">
        <v>74</v>
      </c>
      <c r="B77" s="3">
        <v>43907</v>
      </c>
      <c r="C77" s="1" t="s">
        <v>13</v>
      </c>
      <c r="D77" s="1" t="s">
        <v>4</v>
      </c>
      <c r="E77" s="1" t="s">
        <v>9</v>
      </c>
      <c r="F77" s="1" t="s">
        <v>29</v>
      </c>
      <c r="G77" s="1" t="s">
        <v>41</v>
      </c>
      <c r="H77" s="1">
        <v>2020</v>
      </c>
      <c r="I77" s="1" t="s">
        <v>39</v>
      </c>
      <c r="J77" s="2">
        <v>474</v>
      </c>
    </row>
    <row r="78" spans="1:10">
      <c r="A78" s="1">
        <v>75</v>
      </c>
      <c r="B78" s="3">
        <v>43909</v>
      </c>
      <c r="C78" s="1" t="s">
        <v>8</v>
      </c>
      <c r="D78" s="1" t="s">
        <v>4</v>
      </c>
      <c r="E78" s="1" t="s">
        <v>6</v>
      </c>
      <c r="F78" s="1" t="s">
        <v>26</v>
      </c>
      <c r="G78" s="1" t="s">
        <v>41</v>
      </c>
      <c r="H78" s="1">
        <v>2020</v>
      </c>
      <c r="I78" s="1" t="s">
        <v>39</v>
      </c>
      <c r="J78" s="2">
        <v>4325</v>
      </c>
    </row>
    <row r="79" spans="1:10">
      <c r="A79" s="1">
        <v>76</v>
      </c>
      <c r="B79" s="3">
        <v>43909</v>
      </c>
      <c r="C79" s="1" t="s">
        <v>13</v>
      </c>
      <c r="D79" s="1" t="s">
        <v>4</v>
      </c>
      <c r="E79" s="1" t="s">
        <v>3</v>
      </c>
      <c r="F79" s="1" t="s">
        <v>32</v>
      </c>
      <c r="G79" s="1" t="s">
        <v>41</v>
      </c>
      <c r="H79" s="1">
        <v>2020</v>
      </c>
      <c r="I79" s="1" t="s">
        <v>39</v>
      </c>
      <c r="J79" s="2">
        <v>592</v>
      </c>
    </row>
    <row r="80" spans="1:10">
      <c r="A80" s="1">
        <v>77</v>
      </c>
      <c r="B80" s="3">
        <v>43911</v>
      </c>
      <c r="C80" s="1" t="s">
        <v>5</v>
      </c>
      <c r="D80" s="1" t="s">
        <v>4</v>
      </c>
      <c r="E80" s="1" t="s">
        <v>3</v>
      </c>
      <c r="F80" s="1" t="s">
        <v>30</v>
      </c>
      <c r="G80" s="1" t="s">
        <v>41</v>
      </c>
      <c r="H80" s="1">
        <v>2020</v>
      </c>
      <c r="I80" s="1" t="s">
        <v>39</v>
      </c>
      <c r="J80" s="2">
        <v>4330</v>
      </c>
    </row>
    <row r="81" spans="1:10">
      <c r="A81" s="1">
        <v>78</v>
      </c>
      <c r="B81" s="3">
        <v>43912</v>
      </c>
      <c r="C81" s="1" t="s">
        <v>13</v>
      </c>
      <c r="D81" s="1" t="s">
        <v>4</v>
      </c>
      <c r="E81" s="1" t="s">
        <v>12</v>
      </c>
      <c r="F81" s="1" t="s">
        <v>30</v>
      </c>
      <c r="G81" s="1" t="s">
        <v>41</v>
      </c>
      <c r="H81" s="1">
        <v>2020</v>
      </c>
      <c r="I81" s="1" t="s">
        <v>39</v>
      </c>
      <c r="J81" s="2">
        <v>9405</v>
      </c>
    </row>
    <row r="82" spans="1:10">
      <c r="A82" s="1">
        <v>79</v>
      </c>
      <c r="B82" s="3">
        <v>43914</v>
      </c>
      <c r="C82" s="1" t="s">
        <v>8</v>
      </c>
      <c r="D82" s="1" t="s">
        <v>4</v>
      </c>
      <c r="E82" s="1" t="s">
        <v>6</v>
      </c>
      <c r="F82" s="1" t="s">
        <v>30</v>
      </c>
      <c r="G82" s="1" t="s">
        <v>41</v>
      </c>
      <c r="H82" s="1">
        <v>2020</v>
      </c>
      <c r="I82" s="1" t="s">
        <v>39</v>
      </c>
      <c r="J82" s="2">
        <v>7671</v>
      </c>
    </row>
    <row r="83" spans="1:10">
      <c r="A83" s="1">
        <v>80</v>
      </c>
      <c r="B83" s="3">
        <v>43924</v>
      </c>
      <c r="C83" s="1" t="s">
        <v>2</v>
      </c>
      <c r="D83" s="1" t="s">
        <v>1</v>
      </c>
      <c r="E83" s="1" t="s">
        <v>12</v>
      </c>
      <c r="F83" s="1" t="s">
        <v>30</v>
      </c>
      <c r="G83" s="1" t="s">
        <v>42</v>
      </c>
      <c r="H83" s="1">
        <v>2020</v>
      </c>
      <c r="I83" s="1" t="s">
        <v>39</v>
      </c>
      <c r="J83" s="2">
        <v>5791</v>
      </c>
    </row>
    <row r="84" spans="1:10">
      <c r="A84" s="1">
        <v>81</v>
      </c>
      <c r="B84" s="3">
        <v>43924</v>
      </c>
      <c r="C84" s="1" t="s">
        <v>13</v>
      </c>
      <c r="D84" s="1" t="s">
        <v>4</v>
      </c>
      <c r="E84" s="1" t="s">
        <v>11</v>
      </c>
      <c r="F84" s="1" t="s">
        <v>30</v>
      </c>
      <c r="G84" s="1" t="s">
        <v>42</v>
      </c>
      <c r="H84" s="1">
        <v>2020</v>
      </c>
      <c r="I84" s="1" t="s">
        <v>39</v>
      </c>
      <c r="J84" s="2">
        <v>6007</v>
      </c>
    </row>
    <row r="85" spans="1:10">
      <c r="A85" s="1">
        <v>82</v>
      </c>
      <c r="B85" s="3">
        <v>43926</v>
      </c>
      <c r="C85" s="1" t="s">
        <v>13</v>
      </c>
      <c r="D85" s="1" t="s">
        <v>4</v>
      </c>
      <c r="E85" s="1" t="s">
        <v>9</v>
      </c>
      <c r="F85" s="1" t="s">
        <v>30</v>
      </c>
      <c r="G85" s="1" t="s">
        <v>42</v>
      </c>
      <c r="H85" s="1">
        <v>2020</v>
      </c>
      <c r="I85" s="1" t="s">
        <v>39</v>
      </c>
      <c r="J85" s="2">
        <v>5030</v>
      </c>
    </row>
    <row r="86" spans="1:10">
      <c r="A86" s="1">
        <v>83</v>
      </c>
      <c r="B86" s="3">
        <v>43926</v>
      </c>
      <c r="C86" s="1" t="s">
        <v>2</v>
      </c>
      <c r="D86" s="1" t="s">
        <v>1</v>
      </c>
      <c r="E86" s="1" t="s">
        <v>12</v>
      </c>
      <c r="F86" s="1" t="s">
        <v>30</v>
      </c>
      <c r="G86" s="1" t="s">
        <v>42</v>
      </c>
      <c r="H86" s="1">
        <v>2020</v>
      </c>
      <c r="I86" s="1" t="s">
        <v>39</v>
      </c>
      <c r="J86" s="2">
        <v>6763</v>
      </c>
    </row>
    <row r="87" spans="1:10">
      <c r="A87" s="1">
        <v>84</v>
      </c>
      <c r="B87" s="3">
        <v>43926</v>
      </c>
      <c r="C87" s="1" t="s">
        <v>13</v>
      </c>
      <c r="D87" s="1" t="s">
        <v>4</v>
      </c>
      <c r="E87" s="1" t="s">
        <v>0</v>
      </c>
      <c r="F87" s="1" t="s">
        <v>30</v>
      </c>
      <c r="G87" s="1" t="s">
        <v>42</v>
      </c>
      <c r="H87" s="1">
        <v>2020</v>
      </c>
      <c r="I87" s="1" t="s">
        <v>39</v>
      </c>
      <c r="J87" s="2">
        <v>4248</v>
      </c>
    </row>
    <row r="88" spans="1:10">
      <c r="A88" s="1">
        <v>85</v>
      </c>
      <c r="B88" s="3">
        <v>43927</v>
      </c>
      <c r="C88" s="1" t="s">
        <v>13</v>
      </c>
      <c r="D88" s="1" t="s">
        <v>4</v>
      </c>
      <c r="E88" s="1" t="s">
        <v>6</v>
      </c>
      <c r="F88" s="1" t="s">
        <v>30</v>
      </c>
      <c r="G88" s="1" t="s">
        <v>42</v>
      </c>
      <c r="H88" s="1">
        <v>2020</v>
      </c>
      <c r="I88" s="1" t="s">
        <v>39</v>
      </c>
      <c r="J88" s="2">
        <v>9543</v>
      </c>
    </row>
    <row r="89" spans="1:10">
      <c r="A89" s="1">
        <v>86</v>
      </c>
      <c r="B89" s="3">
        <v>43930</v>
      </c>
      <c r="C89" s="1" t="s">
        <v>14</v>
      </c>
      <c r="D89" s="1" t="s">
        <v>1</v>
      </c>
      <c r="E89" s="1" t="s">
        <v>12</v>
      </c>
      <c r="F89" s="1" t="s">
        <v>30</v>
      </c>
      <c r="G89" s="1" t="s">
        <v>42</v>
      </c>
      <c r="H89" s="1">
        <v>2020</v>
      </c>
      <c r="I89" s="1" t="s">
        <v>39</v>
      </c>
      <c r="J89" s="2">
        <v>2054</v>
      </c>
    </row>
    <row r="90" spans="1:10">
      <c r="A90" s="1">
        <v>87</v>
      </c>
      <c r="B90" s="3">
        <v>43931</v>
      </c>
      <c r="C90" s="1" t="s">
        <v>7</v>
      </c>
      <c r="D90" s="1" t="s">
        <v>1</v>
      </c>
      <c r="E90" s="1" t="s">
        <v>9</v>
      </c>
      <c r="F90" s="1" t="s">
        <v>30</v>
      </c>
      <c r="G90" s="1" t="s">
        <v>42</v>
      </c>
      <c r="H90" s="1">
        <v>2020</v>
      </c>
      <c r="I90" s="1" t="s">
        <v>39</v>
      </c>
      <c r="J90" s="2">
        <v>7094</v>
      </c>
    </row>
    <row r="91" spans="1:10">
      <c r="A91" s="1">
        <v>88</v>
      </c>
      <c r="B91" s="3">
        <v>43931</v>
      </c>
      <c r="C91" s="1" t="s">
        <v>2</v>
      </c>
      <c r="D91" s="1" t="s">
        <v>1</v>
      </c>
      <c r="E91" s="1" t="s">
        <v>3</v>
      </c>
      <c r="F91" s="1" t="s">
        <v>30</v>
      </c>
      <c r="G91" s="1" t="s">
        <v>42</v>
      </c>
      <c r="H91" s="1">
        <v>2020</v>
      </c>
      <c r="I91" s="1" t="s">
        <v>39</v>
      </c>
      <c r="J91" s="2">
        <v>6087</v>
      </c>
    </row>
    <row r="92" spans="1:10">
      <c r="A92" s="1">
        <v>89</v>
      </c>
      <c r="B92" s="3">
        <v>43932</v>
      </c>
      <c r="C92" s="1" t="s">
        <v>8</v>
      </c>
      <c r="D92" s="1" t="s">
        <v>4</v>
      </c>
      <c r="E92" s="1" t="s">
        <v>0</v>
      </c>
      <c r="F92" s="1" t="s">
        <v>30</v>
      </c>
      <c r="G92" s="1" t="s">
        <v>42</v>
      </c>
      <c r="H92" s="1">
        <v>2020</v>
      </c>
      <c r="I92" s="1" t="s">
        <v>39</v>
      </c>
      <c r="J92" s="2">
        <v>4264</v>
      </c>
    </row>
    <row r="93" spans="1:10">
      <c r="A93" s="1">
        <v>90</v>
      </c>
      <c r="B93" s="3">
        <v>43932</v>
      </c>
      <c r="C93" s="1" t="s">
        <v>15</v>
      </c>
      <c r="D93" s="1" t="s">
        <v>4</v>
      </c>
      <c r="E93" s="1" t="s">
        <v>3</v>
      </c>
      <c r="F93" s="1" t="s">
        <v>26</v>
      </c>
      <c r="G93" s="1" t="s">
        <v>42</v>
      </c>
      <c r="H93" s="1">
        <v>2020</v>
      </c>
      <c r="I93" s="1" t="s">
        <v>39</v>
      </c>
      <c r="J93" s="2">
        <v>9333</v>
      </c>
    </row>
    <row r="94" spans="1:10">
      <c r="A94" s="1">
        <v>91</v>
      </c>
      <c r="B94" s="3">
        <v>43933</v>
      </c>
      <c r="C94" s="1" t="s">
        <v>15</v>
      </c>
      <c r="D94" s="1" t="s">
        <v>4</v>
      </c>
      <c r="E94" s="1" t="s">
        <v>9</v>
      </c>
      <c r="F94" s="1" t="s">
        <v>30</v>
      </c>
      <c r="G94" s="1" t="s">
        <v>42</v>
      </c>
      <c r="H94" s="1">
        <v>2020</v>
      </c>
      <c r="I94" s="1" t="s">
        <v>39</v>
      </c>
      <c r="J94" s="2">
        <v>8775</v>
      </c>
    </row>
    <row r="95" spans="1:10">
      <c r="A95" s="1">
        <v>92</v>
      </c>
      <c r="B95" s="3">
        <v>43933</v>
      </c>
      <c r="C95" s="1" t="s">
        <v>14</v>
      </c>
      <c r="D95" s="1" t="s">
        <v>1</v>
      </c>
      <c r="E95" s="1" t="s">
        <v>12</v>
      </c>
      <c r="F95" s="1" t="s">
        <v>30</v>
      </c>
      <c r="G95" s="1" t="s">
        <v>42</v>
      </c>
      <c r="H95" s="1">
        <v>2020</v>
      </c>
      <c r="I95" s="1" t="s">
        <v>39</v>
      </c>
      <c r="J95" s="2">
        <v>2011</v>
      </c>
    </row>
    <row r="96" spans="1:10">
      <c r="A96" s="1">
        <v>93</v>
      </c>
      <c r="B96" s="3">
        <v>43935</v>
      </c>
      <c r="C96" s="1" t="s">
        <v>13</v>
      </c>
      <c r="D96" s="1" t="s">
        <v>4</v>
      </c>
      <c r="E96" s="1" t="s">
        <v>3</v>
      </c>
      <c r="F96" s="1" t="s">
        <v>30</v>
      </c>
      <c r="G96" s="1" t="s">
        <v>42</v>
      </c>
      <c r="H96" s="1">
        <v>2020</v>
      </c>
      <c r="I96" s="1" t="s">
        <v>39</v>
      </c>
      <c r="J96" s="2">
        <v>5632</v>
      </c>
    </row>
    <row r="97" spans="1:10">
      <c r="A97" s="1">
        <v>94</v>
      </c>
      <c r="B97" s="3">
        <v>43939</v>
      </c>
      <c r="C97" s="1" t="s">
        <v>13</v>
      </c>
      <c r="D97" s="1" t="s">
        <v>4</v>
      </c>
      <c r="E97" s="1" t="s">
        <v>10</v>
      </c>
      <c r="F97" s="1" t="s">
        <v>30</v>
      </c>
      <c r="G97" s="1" t="s">
        <v>42</v>
      </c>
      <c r="H97" s="1">
        <v>2020</v>
      </c>
      <c r="I97" s="1" t="s">
        <v>39</v>
      </c>
      <c r="J97" s="2">
        <v>4904</v>
      </c>
    </row>
    <row r="98" spans="1:10">
      <c r="A98" s="1">
        <v>95</v>
      </c>
      <c r="B98" s="3">
        <v>43939</v>
      </c>
      <c r="C98" s="1" t="s">
        <v>7</v>
      </c>
      <c r="D98" s="1" t="s">
        <v>1</v>
      </c>
      <c r="E98" s="1" t="s">
        <v>0</v>
      </c>
      <c r="F98" s="1" t="s">
        <v>26</v>
      </c>
      <c r="G98" s="1" t="s">
        <v>42</v>
      </c>
      <c r="H98" s="1">
        <v>2020</v>
      </c>
      <c r="I98" s="1" t="s">
        <v>39</v>
      </c>
      <c r="J98" s="2">
        <v>1002</v>
      </c>
    </row>
    <row r="99" spans="1:10">
      <c r="A99" s="1">
        <v>96</v>
      </c>
      <c r="B99" s="3">
        <v>43941</v>
      </c>
      <c r="C99" s="1" t="s">
        <v>5</v>
      </c>
      <c r="D99" s="1" t="s">
        <v>4</v>
      </c>
      <c r="E99" s="1" t="s">
        <v>12</v>
      </c>
      <c r="F99" s="1" t="s">
        <v>26</v>
      </c>
      <c r="G99" s="1" t="s">
        <v>42</v>
      </c>
      <c r="H99" s="1">
        <v>2020</v>
      </c>
      <c r="I99" s="1" t="s">
        <v>39</v>
      </c>
      <c r="J99" s="2">
        <v>8141</v>
      </c>
    </row>
    <row r="100" spans="1:10">
      <c r="A100" s="1">
        <v>97</v>
      </c>
      <c r="B100" s="3">
        <v>43945</v>
      </c>
      <c r="C100" s="1" t="s">
        <v>5</v>
      </c>
      <c r="D100" s="1" t="s">
        <v>4</v>
      </c>
      <c r="E100" s="1" t="s">
        <v>11</v>
      </c>
      <c r="F100" s="1" t="s">
        <v>26</v>
      </c>
      <c r="G100" s="1" t="s">
        <v>42</v>
      </c>
      <c r="H100" s="1">
        <v>2020</v>
      </c>
      <c r="I100" s="1" t="s">
        <v>39</v>
      </c>
      <c r="J100" s="2">
        <v>3644</v>
      </c>
    </row>
    <row r="101" spans="1:10">
      <c r="A101" s="1">
        <v>98</v>
      </c>
      <c r="B101" s="3">
        <v>43947</v>
      </c>
      <c r="C101" s="1" t="s">
        <v>5</v>
      </c>
      <c r="D101" s="1" t="s">
        <v>4</v>
      </c>
      <c r="E101" s="1" t="s">
        <v>0</v>
      </c>
      <c r="F101" s="1" t="s">
        <v>26</v>
      </c>
      <c r="G101" s="1" t="s">
        <v>42</v>
      </c>
      <c r="H101" s="1">
        <v>2020</v>
      </c>
      <c r="I101" s="1" t="s">
        <v>39</v>
      </c>
      <c r="J101" s="2">
        <v>1380</v>
      </c>
    </row>
    <row r="102" spans="1:10">
      <c r="A102" s="1">
        <v>99</v>
      </c>
      <c r="B102" s="3">
        <v>43947</v>
      </c>
      <c r="C102" s="1" t="s">
        <v>14</v>
      </c>
      <c r="D102" s="1" t="s">
        <v>1</v>
      </c>
      <c r="E102" s="1" t="s">
        <v>9</v>
      </c>
      <c r="F102" s="1" t="s">
        <v>26</v>
      </c>
      <c r="G102" s="1" t="s">
        <v>42</v>
      </c>
      <c r="H102" s="1">
        <v>2020</v>
      </c>
      <c r="I102" s="1" t="s">
        <v>39</v>
      </c>
      <c r="J102" s="2">
        <v>8354</v>
      </c>
    </row>
    <row r="103" spans="1:10">
      <c r="A103" s="1">
        <v>100</v>
      </c>
      <c r="B103" s="3">
        <v>43947</v>
      </c>
      <c r="C103" s="1" t="s">
        <v>13</v>
      </c>
      <c r="D103" s="1" t="s">
        <v>4</v>
      </c>
      <c r="E103" s="1" t="s">
        <v>3</v>
      </c>
      <c r="F103" s="1" t="s">
        <v>26</v>
      </c>
      <c r="G103" s="1" t="s">
        <v>42</v>
      </c>
      <c r="H103" s="1">
        <v>2020</v>
      </c>
      <c r="I103" s="1" t="s">
        <v>39</v>
      </c>
      <c r="J103" s="2">
        <v>5182</v>
      </c>
    </row>
    <row r="104" spans="1:10">
      <c r="A104" s="1">
        <v>101</v>
      </c>
      <c r="B104" s="3">
        <v>43948</v>
      </c>
      <c r="C104" s="1" t="s">
        <v>8</v>
      </c>
      <c r="D104" s="1" t="s">
        <v>4</v>
      </c>
      <c r="E104" s="1" t="s">
        <v>6</v>
      </c>
      <c r="F104" s="1" t="s">
        <v>26</v>
      </c>
      <c r="G104" s="1" t="s">
        <v>42</v>
      </c>
      <c r="H104" s="1">
        <v>2020</v>
      </c>
      <c r="I104" s="1" t="s">
        <v>39</v>
      </c>
      <c r="J104" s="2">
        <v>2193</v>
      </c>
    </row>
    <row r="105" spans="1:10">
      <c r="A105" s="1">
        <v>102</v>
      </c>
      <c r="B105" s="3">
        <v>43948</v>
      </c>
      <c r="C105" s="1" t="s">
        <v>15</v>
      </c>
      <c r="D105" s="1" t="s">
        <v>4</v>
      </c>
      <c r="E105" s="1" t="s">
        <v>3</v>
      </c>
      <c r="F105" s="1" t="s">
        <v>26</v>
      </c>
      <c r="G105" s="1" t="s">
        <v>42</v>
      </c>
      <c r="H105" s="1">
        <v>2020</v>
      </c>
      <c r="I105" s="1" t="s">
        <v>39</v>
      </c>
      <c r="J105" s="2">
        <v>3647</v>
      </c>
    </row>
    <row r="106" spans="1:10">
      <c r="A106" s="1">
        <v>103</v>
      </c>
      <c r="B106" s="3">
        <v>43949</v>
      </c>
      <c r="C106" s="1" t="s">
        <v>8</v>
      </c>
      <c r="D106" s="1" t="s">
        <v>4</v>
      </c>
      <c r="E106" s="1" t="s">
        <v>3</v>
      </c>
      <c r="F106" s="1" t="s">
        <v>26</v>
      </c>
      <c r="G106" s="1" t="s">
        <v>42</v>
      </c>
      <c r="H106" s="1">
        <v>2020</v>
      </c>
      <c r="I106" s="1" t="s">
        <v>39</v>
      </c>
      <c r="J106" s="2">
        <v>4104</v>
      </c>
    </row>
    <row r="107" spans="1:10">
      <c r="A107" s="1">
        <v>104</v>
      </c>
      <c r="B107" s="3">
        <v>43951</v>
      </c>
      <c r="C107" s="1" t="s">
        <v>2</v>
      </c>
      <c r="D107" s="1" t="s">
        <v>1</v>
      </c>
      <c r="E107" s="1" t="s">
        <v>3</v>
      </c>
      <c r="F107" s="1" t="s">
        <v>26</v>
      </c>
      <c r="G107" s="1" t="s">
        <v>42</v>
      </c>
      <c r="H107" s="1">
        <v>2020</v>
      </c>
      <c r="I107" s="1" t="s">
        <v>39</v>
      </c>
      <c r="J107" s="2">
        <v>7457</v>
      </c>
    </row>
    <row r="108" spans="1:10">
      <c r="A108" s="1">
        <v>105</v>
      </c>
      <c r="B108" s="3">
        <v>43952</v>
      </c>
      <c r="C108" s="1" t="s">
        <v>15</v>
      </c>
      <c r="D108" s="1" t="s">
        <v>4</v>
      </c>
      <c r="E108" s="1" t="s">
        <v>11</v>
      </c>
      <c r="F108" s="1" t="s">
        <v>26</v>
      </c>
      <c r="G108" s="1" t="s">
        <v>43</v>
      </c>
      <c r="H108" s="1">
        <v>2020</v>
      </c>
      <c r="I108" s="1" t="s">
        <v>44</v>
      </c>
      <c r="J108" s="2">
        <v>3767</v>
      </c>
    </row>
    <row r="109" spans="1:10">
      <c r="A109" s="1">
        <v>106</v>
      </c>
      <c r="B109" s="3">
        <v>43953</v>
      </c>
      <c r="C109" s="1" t="s">
        <v>14</v>
      </c>
      <c r="D109" s="1" t="s">
        <v>1</v>
      </c>
      <c r="E109" s="1" t="s">
        <v>9</v>
      </c>
      <c r="F109" s="1" t="s">
        <v>26</v>
      </c>
      <c r="G109" s="1" t="s">
        <v>43</v>
      </c>
      <c r="H109" s="1">
        <v>2020</v>
      </c>
      <c r="I109" s="1" t="s">
        <v>44</v>
      </c>
      <c r="J109" s="2">
        <v>4685</v>
      </c>
    </row>
    <row r="110" spans="1:10">
      <c r="A110" s="1">
        <v>107</v>
      </c>
      <c r="B110" s="3">
        <v>43955</v>
      </c>
      <c r="C110" s="1" t="s">
        <v>13</v>
      </c>
      <c r="D110" s="1" t="s">
        <v>4</v>
      </c>
      <c r="E110" s="1" t="s">
        <v>3</v>
      </c>
      <c r="F110" s="1" t="s">
        <v>26</v>
      </c>
      <c r="G110" s="1" t="s">
        <v>43</v>
      </c>
      <c r="H110" s="1">
        <v>2020</v>
      </c>
      <c r="I110" s="1" t="s">
        <v>44</v>
      </c>
      <c r="J110" s="2">
        <v>3917</v>
      </c>
    </row>
    <row r="111" spans="1:10">
      <c r="A111" s="1">
        <v>108</v>
      </c>
      <c r="B111" s="3">
        <v>43956</v>
      </c>
      <c r="C111" s="1" t="s">
        <v>8</v>
      </c>
      <c r="D111" s="1" t="s">
        <v>4</v>
      </c>
      <c r="E111" s="1" t="s">
        <v>11</v>
      </c>
      <c r="F111" s="1" t="s">
        <v>26</v>
      </c>
      <c r="G111" s="1" t="s">
        <v>43</v>
      </c>
      <c r="H111" s="1">
        <v>2020</v>
      </c>
      <c r="I111" s="1" t="s">
        <v>44</v>
      </c>
      <c r="J111" s="2">
        <v>521</v>
      </c>
    </row>
    <row r="112" spans="1:10">
      <c r="A112" s="1">
        <v>109</v>
      </c>
      <c r="B112" s="3">
        <v>43956</v>
      </c>
      <c r="C112" s="1" t="s">
        <v>8</v>
      </c>
      <c r="D112" s="1" t="s">
        <v>4</v>
      </c>
      <c r="E112" s="1" t="s">
        <v>6</v>
      </c>
      <c r="F112" s="1" t="s">
        <v>32</v>
      </c>
      <c r="G112" s="1" t="s">
        <v>43</v>
      </c>
      <c r="H112" s="1">
        <v>2020</v>
      </c>
      <c r="I112" s="1" t="s">
        <v>44</v>
      </c>
      <c r="J112" s="2">
        <v>5605</v>
      </c>
    </row>
    <row r="113" spans="1:10">
      <c r="A113" s="1">
        <v>110</v>
      </c>
      <c r="B113" s="3">
        <v>43956</v>
      </c>
      <c r="C113" s="1" t="s">
        <v>14</v>
      </c>
      <c r="D113" s="1" t="s">
        <v>1</v>
      </c>
      <c r="E113" s="1" t="s">
        <v>9</v>
      </c>
      <c r="F113" s="1" t="s">
        <v>26</v>
      </c>
      <c r="G113" s="1" t="s">
        <v>43</v>
      </c>
      <c r="H113" s="1">
        <v>2020</v>
      </c>
      <c r="I113" s="1" t="s">
        <v>44</v>
      </c>
      <c r="J113" s="2">
        <v>9630</v>
      </c>
    </row>
    <row r="114" spans="1:10">
      <c r="A114" s="1">
        <v>111</v>
      </c>
      <c r="B114" s="3">
        <v>43957</v>
      </c>
      <c r="C114" s="1" t="s">
        <v>13</v>
      </c>
      <c r="D114" s="1" t="s">
        <v>4</v>
      </c>
      <c r="E114" s="1" t="s">
        <v>11</v>
      </c>
      <c r="F114" s="1" t="s">
        <v>26</v>
      </c>
      <c r="G114" s="1" t="s">
        <v>43</v>
      </c>
      <c r="H114" s="1">
        <v>2020</v>
      </c>
      <c r="I114" s="1" t="s">
        <v>44</v>
      </c>
      <c r="J114" s="2">
        <v>6941</v>
      </c>
    </row>
    <row r="115" spans="1:10">
      <c r="A115" s="1">
        <v>112</v>
      </c>
      <c r="B115" s="3">
        <v>43959</v>
      </c>
      <c r="C115" s="1" t="s">
        <v>14</v>
      </c>
      <c r="D115" s="1" t="s">
        <v>1</v>
      </c>
      <c r="E115" s="1" t="s">
        <v>12</v>
      </c>
      <c r="F115" s="1" t="s">
        <v>26</v>
      </c>
      <c r="G115" s="1" t="s">
        <v>43</v>
      </c>
      <c r="H115" s="1">
        <v>2020</v>
      </c>
      <c r="I115" s="1" t="s">
        <v>44</v>
      </c>
      <c r="J115" s="2">
        <v>7231</v>
      </c>
    </row>
    <row r="116" spans="1:10">
      <c r="A116" s="1">
        <v>113</v>
      </c>
      <c r="B116" s="3">
        <v>43959</v>
      </c>
      <c r="C116" s="1" t="s">
        <v>14</v>
      </c>
      <c r="D116" s="1" t="s">
        <v>1</v>
      </c>
      <c r="E116" s="1" t="s">
        <v>0</v>
      </c>
      <c r="F116" s="1" t="s">
        <v>26</v>
      </c>
      <c r="G116" s="1" t="s">
        <v>43</v>
      </c>
      <c r="H116" s="1">
        <v>2020</v>
      </c>
      <c r="I116" s="1" t="s">
        <v>44</v>
      </c>
      <c r="J116" s="2">
        <v>8891</v>
      </c>
    </row>
    <row r="117" spans="1:10">
      <c r="A117" s="1">
        <v>114</v>
      </c>
      <c r="B117" s="3">
        <v>43959</v>
      </c>
      <c r="C117" s="1" t="s">
        <v>13</v>
      </c>
      <c r="D117" s="1" t="s">
        <v>4</v>
      </c>
      <c r="E117" s="1" t="s">
        <v>6</v>
      </c>
      <c r="F117" s="1" t="s">
        <v>26</v>
      </c>
      <c r="G117" s="1" t="s">
        <v>43</v>
      </c>
      <c r="H117" s="1">
        <v>2020</v>
      </c>
      <c r="I117" s="1" t="s">
        <v>44</v>
      </c>
      <c r="J117" s="2">
        <v>107</v>
      </c>
    </row>
    <row r="118" spans="1:10">
      <c r="A118" s="1">
        <v>115</v>
      </c>
      <c r="B118" s="3">
        <v>43961</v>
      </c>
      <c r="C118" s="1" t="s">
        <v>13</v>
      </c>
      <c r="D118" s="1" t="s">
        <v>4</v>
      </c>
      <c r="E118" s="1" t="s">
        <v>3</v>
      </c>
      <c r="F118" s="1" t="s">
        <v>26</v>
      </c>
      <c r="G118" s="1" t="s">
        <v>43</v>
      </c>
      <c r="H118" s="1">
        <v>2020</v>
      </c>
      <c r="I118" s="1" t="s">
        <v>44</v>
      </c>
      <c r="J118" s="2">
        <v>4243</v>
      </c>
    </row>
    <row r="119" spans="1:10">
      <c r="A119" s="1">
        <v>116</v>
      </c>
      <c r="B119" s="3">
        <v>43964</v>
      </c>
      <c r="C119" s="1" t="s">
        <v>5</v>
      </c>
      <c r="D119" s="1" t="s">
        <v>4</v>
      </c>
      <c r="E119" s="1" t="s">
        <v>3</v>
      </c>
      <c r="F119" s="1" t="s">
        <v>26</v>
      </c>
      <c r="G119" s="1" t="s">
        <v>43</v>
      </c>
      <c r="H119" s="1">
        <v>2020</v>
      </c>
      <c r="I119" s="1" t="s">
        <v>44</v>
      </c>
      <c r="J119" s="2">
        <v>4514</v>
      </c>
    </row>
    <row r="120" spans="1:10">
      <c r="A120" s="1">
        <v>117</v>
      </c>
      <c r="B120" s="3">
        <v>43965</v>
      </c>
      <c r="C120" s="1" t="s">
        <v>15</v>
      </c>
      <c r="D120" s="1" t="s">
        <v>4</v>
      </c>
      <c r="E120" s="1" t="s">
        <v>3</v>
      </c>
      <c r="F120" s="1" t="s">
        <v>26</v>
      </c>
      <c r="G120" s="1" t="s">
        <v>43</v>
      </c>
      <c r="H120" s="1">
        <v>2020</v>
      </c>
      <c r="I120" s="1" t="s">
        <v>44</v>
      </c>
      <c r="J120" s="2">
        <v>5480</v>
      </c>
    </row>
    <row r="121" spans="1:10">
      <c r="A121" s="1">
        <v>118</v>
      </c>
      <c r="B121" s="3">
        <v>43967</v>
      </c>
      <c r="C121" s="1" t="s">
        <v>13</v>
      </c>
      <c r="D121" s="1" t="s">
        <v>4</v>
      </c>
      <c r="E121" s="1" t="s">
        <v>6</v>
      </c>
      <c r="F121" s="1" t="s">
        <v>26</v>
      </c>
      <c r="G121" s="1" t="s">
        <v>43</v>
      </c>
      <c r="H121" s="1">
        <v>2020</v>
      </c>
      <c r="I121" s="1" t="s">
        <v>44</v>
      </c>
      <c r="J121" s="2">
        <v>5002</v>
      </c>
    </row>
    <row r="122" spans="1:10">
      <c r="A122" s="1">
        <v>119</v>
      </c>
      <c r="B122" s="3">
        <v>43971</v>
      </c>
      <c r="C122" s="1" t="s">
        <v>13</v>
      </c>
      <c r="D122" s="1" t="s">
        <v>4</v>
      </c>
      <c r="E122" s="1" t="s">
        <v>11</v>
      </c>
      <c r="F122" s="1" t="s">
        <v>26</v>
      </c>
      <c r="G122" s="1" t="s">
        <v>43</v>
      </c>
      <c r="H122" s="1">
        <v>2020</v>
      </c>
      <c r="I122" s="1" t="s">
        <v>44</v>
      </c>
      <c r="J122" s="2">
        <v>8530</v>
      </c>
    </row>
    <row r="123" spans="1:10">
      <c r="A123" s="1">
        <v>120</v>
      </c>
      <c r="B123" s="3">
        <v>43972</v>
      </c>
      <c r="C123" s="1" t="s">
        <v>5</v>
      </c>
      <c r="D123" s="1" t="s">
        <v>4</v>
      </c>
      <c r="E123" s="1" t="s">
        <v>10</v>
      </c>
      <c r="F123" s="1" t="s">
        <v>26</v>
      </c>
      <c r="G123" s="1" t="s">
        <v>43</v>
      </c>
      <c r="H123" s="1">
        <v>2020</v>
      </c>
      <c r="I123" s="1" t="s">
        <v>44</v>
      </c>
      <c r="J123" s="2">
        <v>4819</v>
      </c>
    </row>
    <row r="124" spans="1:10">
      <c r="A124" s="1">
        <v>121</v>
      </c>
      <c r="B124" s="3">
        <v>43973</v>
      </c>
      <c r="C124" s="1" t="s">
        <v>14</v>
      </c>
      <c r="D124" s="1" t="s">
        <v>1</v>
      </c>
      <c r="E124" s="1" t="s">
        <v>12</v>
      </c>
      <c r="F124" s="1" t="s">
        <v>32</v>
      </c>
      <c r="G124" s="1" t="s">
        <v>43</v>
      </c>
      <c r="H124" s="1">
        <v>2020</v>
      </c>
      <c r="I124" s="1" t="s">
        <v>44</v>
      </c>
      <c r="J124" s="2">
        <v>6343</v>
      </c>
    </row>
    <row r="125" spans="1:10">
      <c r="A125" s="1">
        <v>122</v>
      </c>
      <c r="B125" s="3">
        <v>43974</v>
      </c>
      <c r="C125" s="1" t="s">
        <v>5</v>
      </c>
      <c r="D125" s="1" t="s">
        <v>4</v>
      </c>
      <c r="E125" s="1" t="s">
        <v>12</v>
      </c>
      <c r="F125" s="1" t="s">
        <v>26</v>
      </c>
      <c r="G125" s="1" t="s">
        <v>43</v>
      </c>
      <c r="H125" s="1">
        <v>2020</v>
      </c>
      <c r="I125" s="1" t="s">
        <v>44</v>
      </c>
      <c r="J125" s="2">
        <v>2318</v>
      </c>
    </row>
    <row r="126" spans="1:10">
      <c r="A126" s="1">
        <v>123</v>
      </c>
      <c r="B126" s="3">
        <v>43975</v>
      </c>
      <c r="C126" s="1" t="s">
        <v>5</v>
      </c>
      <c r="D126" s="1" t="s">
        <v>4</v>
      </c>
      <c r="E126" s="1" t="s">
        <v>12</v>
      </c>
      <c r="F126" s="1" t="s">
        <v>26</v>
      </c>
      <c r="G126" s="1" t="s">
        <v>43</v>
      </c>
      <c r="H126" s="1">
        <v>2020</v>
      </c>
      <c r="I126" s="1" t="s">
        <v>44</v>
      </c>
      <c r="J126" s="2">
        <v>220</v>
      </c>
    </row>
    <row r="127" spans="1:10">
      <c r="A127" s="1">
        <v>124</v>
      </c>
      <c r="B127" s="3">
        <v>43975</v>
      </c>
      <c r="C127" s="1" t="s">
        <v>5</v>
      </c>
      <c r="D127" s="1" t="s">
        <v>4</v>
      </c>
      <c r="E127" s="1" t="s">
        <v>10</v>
      </c>
      <c r="F127" s="1" t="s">
        <v>32</v>
      </c>
      <c r="G127" s="1" t="s">
        <v>43</v>
      </c>
      <c r="H127" s="1">
        <v>2020</v>
      </c>
      <c r="I127" s="1" t="s">
        <v>44</v>
      </c>
      <c r="J127" s="2">
        <v>6341</v>
      </c>
    </row>
    <row r="128" spans="1:10">
      <c r="A128" s="1">
        <v>125</v>
      </c>
      <c r="B128" s="3">
        <v>43977</v>
      </c>
      <c r="C128" s="1" t="s">
        <v>8</v>
      </c>
      <c r="D128" s="1" t="s">
        <v>4</v>
      </c>
      <c r="E128" s="1" t="s">
        <v>9</v>
      </c>
      <c r="F128" s="1" t="s">
        <v>32</v>
      </c>
      <c r="G128" s="1" t="s">
        <v>43</v>
      </c>
      <c r="H128" s="1">
        <v>2020</v>
      </c>
      <c r="I128" s="1" t="s">
        <v>44</v>
      </c>
      <c r="J128" s="2">
        <v>330</v>
      </c>
    </row>
    <row r="129" spans="1:10">
      <c r="A129" s="1">
        <v>126</v>
      </c>
      <c r="B129" s="3">
        <v>43978</v>
      </c>
      <c r="C129" s="1" t="s">
        <v>14</v>
      </c>
      <c r="D129" s="1" t="s">
        <v>1</v>
      </c>
      <c r="E129" s="1" t="s">
        <v>12</v>
      </c>
      <c r="F129" s="1" t="s">
        <v>32</v>
      </c>
      <c r="G129" s="1" t="s">
        <v>43</v>
      </c>
      <c r="H129" s="1">
        <v>2020</v>
      </c>
      <c r="I129" s="1" t="s">
        <v>44</v>
      </c>
      <c r="J129" s="2">
        <v>3027</v>
      </c>
    </row>
    <row r="130" spans="1:10">
      <c r="A130" s="1">
        <v>127</v>
      </c>
      <c r="B130" s="3">
        <v>43979</v>
      </c>
      <c r="C130" s="1" t="s">
        <v>5</v>
      </c>
      <c r="D130" s="1" t="s">
        <v>4</v>
      </c>
      <c r="E130" s="1" t="s">
        <v>10</v>
      </c>
      <c r="F130" s="1" t="s">
        <v>30</v>
      </c>
      <c r="G130" s="1" t="s">
        <v>43</v>
      </c>
      <c r="H130" s="1">
        <v>2020</v>
      </c>
      <c r="I130" s="1" t="s">
        <v>44</v>
      </c>
      <c r="J130" s="2">
        <v>850</v>
      </c>
    </row>
    <row r="131" spans="1:10">
      <c r="A131" s="1">
        <v>128</v>
      </c>
      <c r="B131" s="3">
        <v>43980</v>
      </c>
      <c r="C131" s="1" t="s">
        <v>13</v>
      </c>
      <c r="D131" s="1" t="s">
        <v>4</v>
      </c>
      <c r="E131" s="1" t="s">
        <v>12</v>
      </c>
      <c r="F131" s="1" t="s">
        <v>32</v>
      </c>
      <c r="G131" s="1" t="s">
        <v>43</v>
      </c>
      <c r="H131" s="1">
        <v>2020</v>
      </c>
      <c r="I131" s="1" t="s">
        <v>44</v>
      </c>
      <c r="J131" s="2">
        <v>8986</v>
      </c>
    </row>
    <row r="132" spans="1:10">
      <c r="A132" s="1">
        <v>129</v>
      </c>
      <c r="B132" s="3">
        <v>43983</v>
      </c>
      <c r="C132" s="1" t="s">
        <v>14</v>
      </c>
      <c r="D132" s="1" t="s">
        <v>1</v>
      </c>
      <c r="E132" s="1" t="s">
        <v>3</v>
      </c>
      <c r="F132" s="1" t="s">
        <v>32</v>
      </c>
      <c r="G132" s="1" t="s">
        <v>45</v>
      </c>
      <c r="H132" s="1">
        <v>2020</v>
      </c>
      <c r="I132" s="1" t="s">
        <v>44</v>
      </c>
      <c r="J132" s="2">
        <v>3800</v>
      </c>
    </row>
    <row r="133" spans="1:10">
      <c r="A133" s="1">
        <v>130</v>
      </c>
      <c r="B133" s="3">
        <v>43988</v>
      </c>
      <c r="C133" s="1" t="s">
        <v>2</v>
      </c>
      <c r="D133" s="1" t="s">
        <v>1</v>
      </c>
      <c r="E133" s="1" t="s">
        <v>12</v>
      </c>
      <c r="F133" s="1" t="s">
        <v>32</v>
      </c>
      <c r="G133" s="1" t="s">
        <v>45</v>
      </c>
      <c r="H133" s="1">
        <v>2020</v>
      </c>
      <c r="I133" s="1" t="s">
        <v>44</v>
      </c>
      <c r="J133" s="2">
        <v>5751</v>
      </c>
    </row>
    <row r="134" spans="1:10">
      <c r="A134" s="1">
        <v>131</v>
      </c>
      <c r="B134" s="3">
        <v>43988</v>
      </c>
      <c r="C134" s="1" t="s">
        <v>8</v>
      </c>
      <c r="D134" s="1" t="s">
        <v>4</v>
      </c>
      <c r="E134" s="1" t="s">
        <v>12</v>
      </c>
      <c r="F134" s="1" t="s">
        <v>32</v>
      </c>
      <c r="G134" s="1" t="s">
        <v>45</v>
      </c>
      <c r="H134" s="1">
        <v>2020</v>
      </c>
      <c r="I134" s="1" t="s">
        <v>44</v>
      </c>
      <c r="J134" s="2">
        <v>1704</v>
      </c>
    </row>
    <row r="135" spans="1:10">
      <c r="A135" s="1">
        <v>132</v>
      </c>
      <c r="B135" s="3">
        <v>43989</v>
      </c>
      <c r="C135" s="1" t="s">
        <v>13</v>
      </c>
      <c r="D135" s="1" t="s">
        <v>4</v>
      </c>
      <c r="E135" s="1" t="s">
        <v>0</v>
      </c>
      <c r="F135" s="1" t="s">
        <v>30</v>
      </c>
      <c r="G135" s="1" t="s">
        <v>45</v>
      </c>
      <c r="H135" s="1">
        <v>2020</v>
      </c>
      <c r="I135" s="1" t="s">
        <v>44</v>
      </c>
      <c r="J135" s="2">
        <v>7966</v>
      </c>
    </row>
    <row r="136" spans="1:10">
      <c r="A136" s="1">
        <v>133</v>
      </c>
      <c r="B136" s="3">
        <v>43991</v>
      </c>
      <c r="C136" s="1" t="s">
        <v>13</v>
      </c>
      <c r="D136" s="1" t="s">
        <v>4</v>
      </c>
      <c r="E136" s="1" t="s">
        <v>3</v>
      </c>
      <c r="F136" s="1" t="s">
        <v>32</v>
      </c>
      <c r="G136" s="1" t="s">
        <v>45</v>
      </c>
      <c r="H136" s="1">
        <v>2020</v>
      </c>
      <c r="I136" s="1" t="s">
        <v>44</v>
      </c>
      <c r="J136" s="2">
        <v>852</v>
      </c>
    </row>
    <row r="137" spans="1:10">
      <c r="A137" s="1">
        <v>134</v>
      </c>
      <c r="B137" s="3">
        <v>43992</v>
      </c>
      <c r="C137" s="1" t="s">
        <v>7</v>
      </c>
      <c r="D137" s="1" t="s">
        <v>1</v>
      </c>
      <c r="E137" s="1" t="s">
        <v>0</v>
      </c>
      <c r="F137" s="1" t="s">
        <v>32</v>
      </c>
      <c r="G137" s="1" t="s">
        <v>45</v>
      </c>
      <c r="H137" s="1">
        <v>2020</v>
      </c>
      <c r="I137" s="1" t="s">
        <v>44</v>
      </c>
      <c r="J137" s="2">
        <v>8416</v>
      </c>
    </row>
    <row r="138" spans="1:10">
      <c r="A138" s="1">
        <v>135</v>
      </c>
      <c r="B138" s="3">
        <v>43992</v>
      </c>
      <c r="C138" s="1" t="s">
        <v>13</v>
      </c>
      <c r="D138" s="1" t="s">
        <v>4</v>
      </c>
      <c r="E138" s="1" t="s">
        <v>6</v>
      </c>
      <c r="F138" s="1" t="s">
        <v>32</v>
      </c>
      <c r="G138" s="1" t="s">
        <v>45</v>
      </c>
      <c r="H138" s="1">
        <v>2020</v>
      </c>
      <c r="I138" s="1" t="s">
        <v>44</v>
      </c>
      <c r="J138" s="2">
        <v>7144</v>
      </c>
    </row>
    <row r="139" spans="1:10">
      <c r="A139" s="1">
        <v>136</v>
      </c>
      <c r="B139" s="3">
        <v>43995</v>
      </c>
      <c r="C139" s="1" t="s">
        <v>14</v>
      </c>
      <c r="D139" s="1" t="s">
        <v>1</v>
      </c>
      <c r="E139" s="1" t="s">
        <v>3</v>
      </c>
      <c r="F139" s="1" t="s">
        <v>32</v>
      </c>
      <c r="G139" s="1" t="s">
        <v>45</v>
      </c>
      <c r="H139" s="1">
        <v>2020</v>
      </c>
      <c r="I139" s="1" t="s">
        <v>44</v>
      </c>
      <c r="J139" s="2">
        <v>7854</v>
      </c>
    </row>
    <row r="140" spans="1:10">
      <c r="A140" s="1">
        <v>137</v>
      </c>
      <c r="B140" s="3">
        <v>43998</v>
      </c>
      <c r="C140" s="1" t="s">
        <v>5</v>
      </c>
      <c r="D140" s="1" t="s">
        <v>4</v>
      </c>
      <c r="E140" s="1" t="s">
        <v>3</v>
      </c>
      <c r="F140" s="1" t="s">
        <v>32</v>
      </c>
      <c r="G140" s="1" t="s">
        <v>45</v>
      </c>
      <c r="H140" s="1">
        <v>2020</v>
      </c>
      <c r="I140" s="1" t="s">
        <v>44</v>
      </c>
      <c r="J140" s="2">
        <v>859</v>
      </c>
    </row>
    <row r="141" spans="1:10">
      <c r="A141" s="1">
        <v>138</v>
      </c>
      <c r="B141" s="3">
        <v>44001</v>
      </c>
      <c r="C141" s="1" t="s">
        <v>14</v>
      </c>
      <c r="D141" s="1" t="s">
        <v>1</v>
      </c>
      <c r="E141" s="1" t="s">
        <v>3</v>
      </c>
      <c r="F141" s="1" t="s">
        <v>26</v>
      </c>
      <c r="G141" s="1" t="s">
        <v>45</v>
      </c>
      <c r="H141" s="1">
        <v>2020</v>
      </c>
      <c r="I141" s="1" t="s">
        <v>44</v>
      </c>
      <c r="J141" s="2">
        <v>8049</v>
      </c>
    </row>
    <row r="142" spans="1:10">
      <c r="A142" s="1">
        <v>139</v>
      </c>
      <c r="B142" s="3">
        <v>44001</v>
      </c>
      <c r="C142" s="1" t="s">
        <v>13</v>
      </c>
      <c r="D142" s="1" t="s">
        <v>4</v>
      </c>
      <c r="E142" s="1" t="s">
        <v>9</v>
      </c>
      <c r="F142" s="1" t="s">
        <v>32</v>
      </c>
      <c r="G142" s="1" t="s">
        <v>45</v>
      </c>
      <c r="H142" s="1">
        <v>2020</v>
      </c>
      <c r="I142" s="1" t="s">
        <v>44</v>
      </c>
      <c r="J142" s="2">
        <v>2836</v>
      </c>
    </row>
    <row r="143" spans="1:10">
      <c r="A143" s="1">
        <v>140</v>
      </c>
      <c r="B143" s="3">
        <v>44001</v>
      </c>
      <c r="C143" s="1" t="s">
        <v>2</v>
      </c>
      <c r="D143" s="1" t="s">
        <v>1</v>
      </c>
      <c r="E143" s="1" t="s">
        <v>3</v>
      </c>
      <c r="F143" s="1" t="s">
        <v>32</v>
      </c>
      <c r="G143" s="1" t="s">
        <v>45</v>
      </c>
      <c r="H143" s="1">
        <v>2020</v>
      </c>
      <c r="I143" s="1" t="s">
        <v>44</v>
      </c>
      <c r="J143" s="2">
        <v>1743</v>
      </c>
    </row>
    <row r="144" spans="1:10">
      <c r="A144" s="1">
        <v>141</v>
      </c>
      <c r="B144" s="3">
        <v>44002</v>
      </c>
      <c r="C144" s="1" t="s">
        <v>8</v>
      </c>
      <c r="D144" s="1" t="s">
        <v>4</v>
      </c>
      <c r="E144" s="1" t="s">
        <v>6</v>
      </c>
      <c r="F144" s="1" t="s">
        <v>30</v>
      </c>
      <c r="G144" s="1" t="s">
        <v>45</v>
      </c>
      <c r="H144" s="1">
        <v>2020</v>
      </c>
      <c r="I144" s="1" t="s">
        <v>44</v>
      </c>
      <c r="J144" s="2">
        <v>3844</v>
      </c>
    </row>
    <row r="145" spans="1:10">
      <c r="A145" s="1">
        <v>142</v>
      </c>
      <c r="B145" s="3">
        <v>44008</v>
      </c>
      <c r="C145" s="1" t="s">
        <v>8</v>
      </c>
      <c r="D145" s="1" t="s">
        <v>4</v>
      </c>
      <c r="E145" s="1" t="s">
        <v>6</v>
      </c>
      <c r="F145" s="1" t="s">
        <v>30</v>
      </c>
      <c r="G145" s="1" t="s">
        <v>45</v>
      </c>
      <c r="H145" s="1">
        <v>2020</v>
      </c>
      <c r="I145" s="1" t="s">
        <v>44</v>
      </c>
      <c r="J145" s="2">
        <v>7490</v>
      </c>
    </row>
    <row r="146" spans="1:10">
      <c r="A146" s="1">
        <v>143</v>
      </c>
      <c r="B146" s="3">
        <v>44010</v>
      </c>
      <c r="C146" s="1" t="s">
        <v>14</v>
      </c>
      <c r="D146" s="1" t="s">
        <v>1</v>
      </c>
      <c r="E146" s="1" t="s">
        <v>9</v>
      </c>
      <c r="F146" s="1" t="s">
        <v>30</v>
      </c>
      <c r="G146" s="1" t="s">
        <v>45</v>
      </c>
      <c r="H146" s="1">
        <v>2020</v>
      </c>
      <c r="I146" s="1" t="s">
        <v>44</v>
      </c>
      <c r="J146" s="2">
        <v>4483</v>
      </c>
    </row>
    <row r="147" spans="1:10">
      <c r="A147" s="1">
        <v>144</v>
      </c>
      <c r="B147" s="3">
        <v>44014</v>
      </c>
      <c r="C147" s="1" t="s">
        <v>8</v>
      </c>
      <c r="D147" s="1" t="s">
        <v>4</v>
      </c>
      <c r="E147" s="1" t="s">
        <v>11</v>
      </c>
      <c r="F147" s="1" t="s">
        <v>30</v>
      </c>
      <c r="G147" s="1" t="s">
        <v>27</v>
      </c>
      <c r="H147" s="1">
        <v>2020</v>
      </c>
      <c r="I147" s="1" t="s">
        <v>28</v>
      </c>
      <c r="J147" s="2">
        <v>7333</v>
      </c>
    </row>
    <row r="148" spans="1:10">
      <c r="A148" s="1">
        <v>145</v>
      </c>
      <c r="B148" s="3">
        <v>44014</v>
      </c>
      <c r="C148" s="1" t="s">
        <v>2</v>
      </c>
      <c r="D148" s="1" t="s">
        <v>1</v>
      </c>
      <c r="E148" s="1" t="s">
        <v>3</v>
      </c>
      <c r="F148" s="1" t="s">
        <v>30</v>
      </c>
      <c r="G148" s="1" t="s">
        <v>27</v>
      </c>
      <c r="H148" s="1">
        <v>2020</v>
      </c>
      <c r="I148" s="1" t="s">
        <v>28</v>
      </c>
      <c r="J148" s="2">
        <v>7654</v>
      </c>
    </row>
    <row r="149" spans="1:10">
      <c r="A149" s="1">
        <v>146</v>
      </c>
      <c r="B149" s="3">
        <v>44019</v>
      </c>
      <c r="C149" s="1" t="s">
        <v>8</v>
      </c>
      <c r="D149" s="1" t="s">
        <v>4</v>
      </c>
      <c r="E149" s="1" t="s">
        <v>12</v>
      </c>
      <c r="F149" s="1" t="s">
        <v>30</v>
      </c>
      <c r="G149" s="1" t="s">
        <v>27</v>
      </c>
      <c r="H149" s="1">
        <v>2020</v>
      </c>
      <c r="I149" s="1" t="s">
        <v>28</v>
      </c>
      <c r="J149" s="2">
        <v>3944</v>
      </c>
    </row>
    <row r="150" spans="1:10">
      <c r="A150" s="1">
        <v>147</v>
      </c>
      <c r="B150" s="3">
        <v>44020</v>
      </c>
      <c r="C150" s="1" t="s">
        <v>7</v>
      </c>
      <c r="D150" s="1" t="s">
        <v>1</v>
      </c>
      <c r="E150" s="1" t="s">
        <v>9</v>
      </c>
      <c r="F150" s="1" t="s">
        <v>30</v>
      </c>
      <c r="G150" s="1" t="s">
        <v>27</v>
      </c>
      <c r="H150" s="1">
        <v>2020</v>
      </c>
      <c r="I150" s="1" t="s">
        <v>28</v>
      </c>
      <c r="J150" s="2">
        <v>5761</v>
      </c>
    </row>
    <row r="151" spans="1:10">
      <c r="A151" s="1">
        <v>148</v>
      </c>
      <c r="B151" s="3">
        <v>44021</v>
      </c>
      <c r="C151" s="1" t="s">
        <v>13</v>
      </c>
      <c r="D151" s="1" t="s">
        <v>4</v>
      </c>
      <c r="E151" s="1" t="s">
        <v>10</v>
      </c>
      <c r="F151" s="1" t="s">
        <v>26</v>
      </c>
      <c r="G151" s="1" t="s">
        <v>27</v>
      </c>
      <c r="H151" s="1">
        <v>2020</v>
      </c>
      <c r="I151" s="1" t="s">
        <v>28</v>
      </c>
      <c r="J151" s="2">
        <v>6864</v>
      </c>
    </row>
    <row r="152" spans="1:10">
      <c r="A152" s="1">
        <v>149</v>
      </c>
      <c r="B152" s="3">
        <v>44022</v>
      </c>
      <c r="C152" s="1" t="s">
        <v>13</v>
      </c>
      <c r="D152" s="1" t="s">
        <v>4</v>
      </c>
      <c r="E152" s="1" t="s">
        <v>9</v>
      </c>
      <c r="F152" s="1" t="s">
        <v>30</v>
      </c>
      <c r="G152" s="1" t="s">
        <v>27</v>
      </c>
      <c r="H152" s="1">
        <v>2020</v>
      </c>
      <c r="I152" s="1" t="s">
        <v>28</v>
      </c>
      <c r="J152" s="2">
        <v>4016</v>
      </c>
    </row>
    <row r="153" spans="1:10">
      <c r="A153" s="1">
        <v>150</v>
      </c>
      <c r="B153" s="3">
        <v>44031</v>
      </c>
      <c r="C153" s="1" t="s">
        <v>13</v>
      </c>
      <c r="D153" s="1" t="s">
        <v>4</v>
      </c>
      <c r="E153" s="1" t="s">
        <v>3</v>
      </c>
      <c r="F153" s="1" t="s">
        <v>30</v>
      </c>
      <c r="G153" s="1" t="s">
        <v>27</v>
      </c>
      <c r="H153" s="1">
        <v>2020</v>
      </c>
      <c r="I153" s="1" t="s">
        <v>28</v>
      </c>
      <c r="J153" s="2">
        <v>1841</v>
      </c>
    </row>
    <row r="154" spans="1:10">
      <c r="A154" s="1">
        <v>151</v>
      </c>
      <c r="B154" s="3">
        <v>44032</v>
      </c>
      <c r="C154" s="1" t="s">
        <v>13</v>
      </c>
      <c r="D154" s="1" t="s">
        <v>4</v>
      </c>
      <c r="E154" s="1" t="s">
        <v>0</v>
      </c>
      <c r="F154" s="1" t="s">
        <v>30</v>
      </c>
      <c r="G154" s="1" t="s">
        <v>27</v>
      </c>
      <c r="H154" s="1">
        <v>2020</v>
      </c>
      <c r="I154" s="1" t="s">
        <v>28</v>
      </c>
      <c r="J154" s="2">
        <v>424</v>
      </c>
    </row>
    <row r="155" spans="1:10">
      <c r="A155" s="1">
        <v>152</v>
      </c>
      <c r="B155" s="3">
        <v>44034</v>
      </c>
      <c r="C155" s="1" t="s">
        <v>13</v>
      </c>
      <c r="D155" s="1" t="s">
        <v>4</v>
      </c>
      <c r="E155" s="1" t="s">
        <v>12</v>
      </c>
      <c r="F155" s="1" t="s">
        <v>30</v>
      </c>
      <c r="G155" s="1" t="s">
        <v>27</v>
      </c>
      <c r="H155" s="1">
        <v>2020</v>
      </c>
      <c r="I155" s="1" t="s">
        <v>28</v>
      </c>
      <c r="J155" s="2">
        <v>8765</v>
      </c>
    </row>
    <row r="156" spans="1:10">
      <c r="A156" s="1">
        <v>153</v>
      </c>
      <c r="B156" s="3">
        <v>44035</v>
      </c>
      <c r="C156" s="1" t="s">
        <v>13</v>
      </c>
      <c r="D156" s="1" t="s">
        <v>4</v>
      </c>
      <c r="E156" s="1" t="s">
        <v>3</v>
      </c>
      <c r="F156" s="1" t="s">
        <v>26</v>
      </c>
      <c r="G156" s="1" t="s">
        <v>27</v>
      </c>
      <c r="H156" s="1">
        <v>2020</v>
      </c>
      <c r="I156" s="1" t="s">
        <v>28</v>
      </c>
      <c r="J156" s="2">
        <v>5583</v>
      </c>
    </row>
    <row r="157" spans="1:10">
      <c r="A157" s="1">
        <v>154</v>
      </c>
      <c r="B157" s="3">
        <v>44041</v>
      </c>
      <c r="C157" s="1" t="s">
        <v>14</v>
      </c>
      <c r="D157" s="1" t="s">
        <v>1</v>
      </c>
      <c r="E157" s="1" t="s">
        <v>10</v>
      </c>
      <c r="F157" s="1" t="s">
        <v>30</v>
      </c>
      <c r="G157" s="1" t="s">
        <v>27</v>
      </c>
      <c r="H157" s="1">
        <v>2020</v>
      </c>
      <c r="I157" s="1" t="s">
        <v>28</v>
      </c>
      <c r="J157" s="2">
        <v>4390</v>
      </c>
    </row>
    <row r="158" spans="1:10">
      <c r="A158" s="1">
        <v>155</v>
      </c>
      <c r="B158" s="3">
        <v>44044</v>
      </c>
      <c r="C158" s="1" t="s">
        <v>14</v>
      </c>
      <c r="D158" s="1" t="s">
        <v>1</v>
      </c>
      <c r="E158" s="1" t="s">
        <v>11</v>
      </c>
      <c r="F158" s="1" t="s">
        <v>26</v>
      </c>
      <c r="G158" s="1" t="s">
        <v>31</v>
      </c>
      <c r="H158" s="1">
        <v>2020</v>
      </c>
      <c r="I158" s="1" t="s">
        <v>28</v>
      </c>
      <c r="J158" s="2">
        <v>352</v>
      </c>
    </row>
    <row r="159" spans="1:10">
      <c r="A159" s="1">
        <v>156</v>
      </c>
      <c r="B159" s="3">
        <v>44045</v>
      </c>
      <c r="C159" s="1" t="s">
        <v>8</v>
      </c>
      <c r="D159" s="1" t="s">
        <v>4</v>
      </c>
      <c r="E159" s="1" t="s">
        <v>3</v>
      </c>
      <c r="F159" s="1" t="s">
        <v>26</v>
      </c>
      <c r="G159" s="1" t="s">
        <v>31</v>
      </c>
      <c r="H159" s="1">
        <v>2020</v>
      </c>
      <c r="I159" s="1" t="s">
        <v>28</v>
      </c>
      <c r="J159" s="2">
        <v>8489</v>
      </c>
    </row>
    <row r="160" spans="1:10">
      <c r="A160" s="1">
        <v>157</v>
      </c>
      <c r="B160" s="3">
        <v>44049</v>
      </c>
      <c r="C160" s="1" t="s">
        <v>13</v>
      </c>
      <c r="D160" s="1" t="s">
        <v>4</v>
      </c>
      <c r="E160" s="1" t="s">
        <v>6</v>
      </c>
      <c r="F160" s="1" t="s">
        <v>26</v>
      </c>
      <c r="G160" s="1" t="s">
        <v>31</v>
      </c>
      <c r="H160" s="1">
        <v>2020</v>
      </c>
      <c r="I160" s="1" t="s">
        <v>28</v>
      </c>
      <c r="J160" s="2">
        <v>7090</v>
      </c>
    </row>
    <row r="161" spans="1:10">
      <c r="A161" s="1">
        <v>158</v>
      </c>
      <c r="B161" s="3">
        <v>44050</v>
      </c>
      <c r="C161" s="1" t="s">
        <v>13</v>
      </c>
      <c r="D161" s="1" t="s">
        <v>4</v>
      </c>
      <c r="E161" s="1" t="s">
        <v>3</v>
      </c>
      <c r="F161" s="1" t="s">
        <v>26</v>
      </c>
      <c r="G161" s="1" t="s">
        <v>31</v>
      </c>
      <c r="H161" s="1">
        <v>2020</v>
      </c>
      <c r="I161" s="1" t="s">
        <v>28</v>
      </c>
      <c r="J161" s="2">
        <v>7880</v>
      </c>
    </row>
    <row r="162" spans="1:10">
      <c r="A162" s="1">
        <v>159</v>
      </c>
      <c r="B162" s="3">
        <v>44052</v>
      </c>
      <c r="C162" s="1" t="s">
        <v>5</v>
      </c>
      <c r="D162" s="1" t="s">
        <v>4</v>
      </c>
      <c r="E162" s="1" t="s">
        <v>3</v>
      </c>
      <c r="F162" s="1" t="s">
        <v>30</v>
      </c>
      <c r="G162" s="1" t="s">
        <v>31</v>
      </c>
      <c r="H162" s="1">
        <v>2020</v>
      </c>
      <c r="I162" s="1" t="s">
        <v>28</v>
      </c>
      <c r="J162" s="2">
        <v>3861</v>
      </c>
    </row>
    <row r="163" spans="1:10">
      <c r="A163" s="1">
        <v>160</v>
      </c>
      <c r="B163" s="3">
        <v>44052</v>
      </c>
      <c r="C163" s="1" t="s">
        <v>14</v>
      </c>
      <c r="D163" s="1" t="s">
        <v>1</v>
      </c>
      <c r="E163" s="1" t="s">
        <v>9</v>
      </c>
      <c r="F163" s="1" t="s">
        <v>26</v>
      </c>
      <c r="G163" s="1" t="s">
        <v>31</v>
      </c>
      <c r="H163" s="1">
        <v>2020</v>
      </c>
      <c r="I163" s="1" t="s">
        <v>28</v>
      </c>
      <c r="J163" s="2">
        <v>7927</v>
      </c>
    </row>
    <row r="164" spans="1:10">
      <c r="A164" s="1">
        <v>161</v>
      </c>
      <c r="B164" s="3">
        <v>44053</v>
      </c>
      <c r="C164" s="1" t="s">
        <v>13</v>
      </c>
      <c r="D164" s="1" t="s">
        <v>4</v>
      </c>
      <c r="E164" s="1" t="s">
        <v>3</v>
      </c>
      <c r="F164" s="1" t="s">
        <v>26</v>
      </c>
      <c r="G164" s="1" t="s">
        <v>31</v>
      </c>
      <c r="H164" s="1">
        <v>2020</v>
      </c>
      <c r="I164" s="1" t="s">
        <v>28</v>
      </c>
      <c r="J164" s="2">
        <v>6162</v>
      </c>
    </row>
    <row r="165" spans="1:10">
      <c r="A165" s="1">
        <v>162</v>
      </c>
      <c r="B165" s="3">
        <v>44054</v>
      </c>
      <c r="C165" s="1" t="s">
        <v>15</v>
      </c>
      <c r="D165" s="1" t="s">
        <v>4</v>
      </c>
      <c r="E165" s="1" t="s">
        <v>0</v>
      </c>
      <c r="F165" s="1" t="s">
        <v>26</v>
      </c>
      <c r="G165" s="1" t="s">
        <v>31</v>
      </c>
      <c r="H165" s="1">
        <v>2020</v>
      </c>
      <c r="I165" s="1" t="s">
        <v>28</v>
      </c>
      <c r="J165" s="2">
        <v>5523</v>
      </c>
    </row>
    <row r="166" spans="1:10">
      <c r="A166" s="1">
        <v>163</v>
      </c>
      <c r="B166" s="3">
        <v>44058</v>
      </c>
      <c r="C166" s="1" t="s">
        <v>14</v>
      </c>
      <c r="D166" s="1" t="s">
        <v>1</v>
      </c>
      <c r="E166" s="1" t="s">
        <v>12</v>
      </c>
      <c r="F166" s="1" t="s">
        <v>26</v>
      </c>
      <c r="G166" s="1" t="s">
        <v>31</v>
      </c>
      <c r="H166" s="1">
        <v>2020</v>
      </c>
      <c r="I166" s="1" t="s">
        <v>28</v>
      </c>
      <c r="J166" s="2">
        <v>5936</v>
      </c>
    </row>
    <row r="167" spans="1:10">
      <c r="A167" s="1">
        <v>164</v>
      </c>
      <c r="B167" s="3">
        <v>44058</v>
      </c>
      <c r="C167" s="1" t="s">
        <v>2</v>
      </c>
      <c r="D167" s="1" t="s">
        <v>1</v>
      </c>
      <c r="E167" s="1" t="s">
        <v>9</v>
      </c>
      <c r="F167" s="1" t="s">
        <v>26</v>
      </c>
      <c r="G167" s="1" t="s">
        <v>31</v>
      </c>
      <c r="H167" s="1">
        <v>2020</v>
      </c>
      <c r="I167" s="1" t="s">
        <v>28</v>
      </c>
      <c r="J167" s="2">
        <v>7251</v>
      </c>
    </row>
    <row r="168" spans="1:10">
      <c r="A168" s="1">
        <v>165</v>
      </c>
      <c r="B168" s="3">
        <v>44059</v>
      </c>
      <c r="C168" s="1" t="s">
        <v>5</v>
      </c>
      <c r="D168" s="1" t="s">
        <v>4</v>
      </c>
      <c r="E168" s="1" t="s">
        <v>0</v>
      </c>
      <c r="F168" s="1" t="s">
        <v>26</v>
      </c>
      <c r="G168" s="1" t="s">
        <v>31</v>
      </c>
      <c r="H168" s="1">
        <v>2020</v>
      </c>
      <c r="I168" s="1" t="s">
        <v>28</v>
      </c>
      <c r="J168" s="2">
        <v>6187</v>
      </c>
    </row>
    <row r="169" spans="1:10">
      <c r="A169" s="1">
        <v>166</v>
      </c>
      <c r="B169" s="3">
        <v>44060</v>
      </c>
      <c r="C169" s="1" t="s">
        <v>13</v>
      </c>
      <c r="D169" s="1" t="s">
        <v>4</v>
      </c>
      <c r="E169" s="1" t="s">
        <v>9</v>
      </c>
      <c r="F169" s="1" t="s">
        <v>29</v>
      </c>
      <c r="G169" s="1" t="s">
        <v>31</v>
      </c>
      <c r="H169" s="1">
        <v>2020</v>
      </c>
      <c r="I169" s="1" t="s">
        <v>28</v>
      </c>
      <c r="J169" s="2">
        <v>3210</v>
      </c>
    </row>
    <row r="170" spans="1:10">
      <c r="A170" s="1">
        <v>167</v>
      </c>
      <c r="B170" s="3">
        <v>44064</v>
      </c>
      <c r="C170" s="1" t="s">
        <v>2</v>
      </c>
      <c r="D170" s="1" t="s">
        <v>1</v>
      </c>
      <c r="E170" s="1" t="s">
        <v>9</v>
      </c>
      <c r="F170" s="1" t="s">
        <v>29</v>
      </c>
      <c r="G170" s="1" t="s">
        <v>31</v>
      </c>
      <c r="H170" s="1">
        <v>2020</v>
      </c>
      <c r="I170" s="1" t="s">
        <v>28</v>
      </c>
      <c r="J170" s="2">
        <v>682</v>
      </c>
    </row>
    <row r="171" spans="1:10">
      <c r="A171" s="1">
        <v>168</v>
      </c>
      <c r="B171" s="3">
        <v>44065</v>
      </c>
      <c r="C171" s="1" t="s">
        <v>13</v>
      </c>
      <c r="D171" s="1" t="s">
        <v>4</v>
      </c>
      <c r="E171" s="1" t="s">
        <v>0</v>
      </c>
      <c r="F171" s="1" t="s">
        <v>29</v>
      </c>
      <c r="G171" s="1" t="s">
        <v>31</v>
      </c>
      <c r="H171" s="1">
        <v>2020</v>
      </c>
      <c r="I171" s="1" t="s">
        <v>28</v>
      </c>
      <c r="J171" s="2">
        <v>793</v>
      </c>
    </row>
    <row r="172" spans="1:10">
      <c r="A172" s="1">
        <v>169</v>
      </c>
      <c r="B172" s="3">
        <v>44067</v>
      </c>
      <c r="C172" s="1" t="s">
        <v>2</v>
      </c>
      <c r="D172" s="1" t="s">
        <v>1</v>
      </c>
      <c r="E172" s="1" t="s">
        <v>9</v>
      </c>
      <c r="F172" s="1" t="s">
        <v>29</v>
      </c>
      <c r="G172" s="1" t="s">
        <v>31</v>
      </c>
      <c r="H172" s="1">
        <v>2020</v>
      </c>
      <c r="I172" s="1" t="s">
        <v>28</v>
      </c>
      <c r="J172" s="2">
        <v>5346</v>
      </c>
    </row>
    <row r="173" spans="1:10">
      <c r="A173" s="1">
        <v>170</v>
      </c>
      <c r="B173" s="3">
        <v>44070</v>
      </c>
      <c r="C173" s="1" t="s">
        <v>13</v>
      </c>
      <c r="D173" s="1" t="s">
        <v>4</v>
      </c>
      <c r="E173" s="1" t="s">
        <v>10</v>
      </c>
      <c r="F173" s="1" t="s">
        <v>29</v>
      </c>
      <c r="G173" s="1" t="s">
        <v>31</v>
      </c>
      <c r="H173" s="1">
        <v>2020</v>
      </c>
      <c r="I173" s="1" t="s">
        <v>28</v>
      </c>
      <c r="J173" s="2">
        <v>7103</v>
      </c>
    </row>
    <row r="174" spans="1:10">
      <c r="A174" s="1">
        <v>171</v>
      </c>
      <c r="B174" s="3">
        <v>44073</v>
      </c>
      <c r="C174" s="1" t="s">
        <v>2</v>
      </c>
      <c r="D174" s="1" t="s">
        <v>1</v>
      </c>
      <c r="E174" s="1" t="s">
        <v>3</v>
      </c>
      <c r="F174" s="1" t="s">
        <v>29</v>
      </c>
      <c r="G174" s="1" t="s">
        <v>31</v>
      </c>
      <c r="H174" s="1">
        <v>2020</v>
      </c>
      <c r="I174" s="1" t="s">
        <v>28</v>
      </c>
      <c r="J174" s="2">
        <v>4603</v>
      </c>
    </row>
    <row r="175" spans="1:10">
      <c r="A175" s="1">
        <v>172</v>
      </c>
      <c r="B175" s="3">
        <v>44075</v>
      </c>
      <c r="C175" s="1" t="s">
        <v>8</v>
      </c>
      <c r="D175" s="1" t="s">
        <v>4</v>
      </c>
      <c r="E175" s="1" t="s">
        <v>6</v>
      </c>
      <c r="F175" s="1" t="s">
        <v>29</v>
      </c>
      <c r="G175" s="1" t="s">
        <v>33</v>
      </c>
      <c r="H175" s="1">
        <v>2020</v>
      </c>
      <c r="I175" s="1" t="s">
        <v>28</v>
      </c>
      <c r="J175" s="2">
        <v>8160</v>
      </c>
    </row>
    <row r="176" spans="1:10">
      <c r="A176" s="1">
        <v>173</v>
      </c>
      <c r="B176" s="3">
        <v>44076</v>
      </c>
      <c r="C176" s="1" t="s">
        <v>8</v>
      </c>
      <c r="D176" s="1" t="s">
        <v>4</v>
      </c>
      <c r="E176" s="1" t="s">
        <v>12</v>
      </c>
      <c r="F176" s="1" t="s">
        <v>29</v>
      </c>
      <c r="G176" s="1" t="s">
        <v>33</v>
      </c>
      <c r="H176" s="1">
        <v>2020</v>
      </c>
      <c r="I176" s="1" t="s">
        <v>28</v>
      </c>
      <c r="J176" s="2">
        <v>7171</v>
      </c>
    </row>
    <row r="177" spans="1:10">
      <c r="A177" s="1">
        <v>174</v>
      </c>
      <c r="B177" s="3">
        <v>44077</v>
      </c>
      <c r="C177" s="1" t="s">
        <v>13</v>
      </c>
      <c r="D177" s="1" t="s">
        <v>4</v>
      </c>
      <c r="E177" s="1" t="s">
        <v>10</v>
      </c>
      <c r="F177" s="1" t="s">
        <v>26</v>
      </c>
      <c r="G177" s="1" t="s">
        <v>33</v>
      </c>
      <c r="H177" s="1">
        <v>2020</v>
      </c>
      <c r="I177" s="1" t="s">
        <v>28</v>
      </c>
      <c r="J177" s="2">
        <v>3552</v>
      </c>
    </row>
    <row r="178" spans="1:10">
      <c r="A178" s="1">
        <v>175</v>
      </c>
      <c r="B178" s="3">
        <v>44080</v>
      </c>
      <c r="C178" s="1" t="s">
        <v>13</v>
      </c>
      <c r="D178" s="1" t="s">
        <v>4</v>
      </c>
      <c r="E178" s="1" t="s">
        <v>0</v>
      </c>
      <c r="F178" s="1" t="s">
        <v>29</v>
      </c>
      <c r="G178" s="1" t="s">
        <v>33</v>
      </c>
      <c r="H178" s="1">
        <v>2020</v>
      </c>
      <c r="I178" s="1" t="s">
        <v>28</v>
      </c>
      <c r="J178" s="2">
        <v>7273</v>
      </c>
    </row>
    <row r="179" spans="1:10">
      <c r="A179" s="1">
        <v>176</v>
      </c>
      <c r="B179" s="3">
        <v>44082</v>
      </c>
      <c r="C179" s="1" t="s">
        <v>13</v>
      </c>
      <c r="D179" s="1" t="s">
        <v>4</v>
      </c>
      <c r="E179" s="1" t="s">
        <v>9</v>
      </c>
      <c r="F179" s="1" t="s">
        <v>29</v>
      </c>
      <c r="G179" s="1" t="s">
        <v>33</v>
      </c>
      <c r="H179" s="1">
        <v>2020</v>
      </c>
      <c r="I179" s="1" t="s">
        <v>28</v>
      </c>
      <c r="J179" s="2">
        <v>2402</v>
      </c>
    </row>
    <row r="180" spans="1:10">
      <c r="A180" s="1">
        <v>177</v>
      </c>
      <c r="B180" s="3">
        <v>44082</v>
      </c>
      <c r="C180" s="1" t="s">
        <v>13</v>
      </c>
      <c r="D180" s="1" t="s">
        <v>4</v>
      </c>
      <c r="E180" s="1" t="s">
        <v>0</v>
      </c>
      <c r="F180" s="1" t="s">
        <v>30</v>
      </c>
      <c r="G180" s="1" t="s">
        <v>33</v>
      </c>
      <c r="H180" s="1">
        <v>2020</v>
      </c>
      <c r="I180" s="1" t="s">
        <v>28</v>
      </c>
      <c r="J180" s="2">
        <v>1197</v>
      </c>
    </row>
    <row r="181" spans="1:10">
      <c r="A181" s="1">
        <v>178</v>
      </c>
      <c r="B181" s="3">
        <v>44083</v>
      </c>
      <c r="C181" s="1" t="s">
        <v>7</v>
      </c>
      <c r="D181" s="1" t="s">
        <v>1</v>
      </c>
      <c r="E181" s="1" t="s">
        <v>0</v>
      </c>
      <c r="F181" s="1" t="s">
        <v>30</v>
      </c>
      <c r="G181" s="1" t="s">
        <v>33</v>
      </c>
      <c r="H181" s="1">
        <v>2020</v>
      </c>
      <c r="I181" s="1" t="s">
        <v>28</v>
      </c>
      <c r="J181" s="2">
        <v>5015</v>
      </c>
    </row>
    <row r="182" spans="1:10">
      <c r="A182" s="1">
        <v>179</v>
      </c>
      <c r="B182" s="3">
        <v>44083</v>
      </c>
      <c r="C182" s="1" t="s">
        <v>5</v>
      </c>
      <c r="D182" s="1" t="s">
        <v>4</v>
      </c>
      <c r="E182" s="1" t="s">
        <v>3</v>
      </c>
      <c r="F182" s="1" t="s">
        <v>30</v>
      </c>
      <c r="G182" s="1" t="s">
        <v>33</v>
      </c>
      <c r="H182" s="1">
        <v>2020</v>
      </c>
      <c r="I182" s="1" t="s">
        <v>28</v>
      </c>
      <c r="J182" s="2">
        <v>5818</v>
      </c>
    </row>
    <row r="183" spans="1:10">
      <c r="A183" s="1">
        <v>180</v>
      </c>
      <c r="B183" s="3">
        <v>44083</v>
      </c>
      <c r="C183" s="1" t="s">
        <v>13</v>
      </c>
      <c r="D183" s="1" t="s">
        <v>4</v>
      </c>
      <c r="E183" s="1" t="s">
        <v>12</v>
      </c>
      <c r="F183" s="1" t="s">
        <v>30</v>
      </c>
      <c r="G183" s="1" t="s">
        <v>33</v>
      </c>
      <c r="H183" s="1">
        <v>2020</v>
      </c>
      <c r="I183" s="1" t="s">
        <v>28</v>
      </c>
      <c r="J183" s="2">
        <v>4399</v>
      </c>
    </row>
    <row r="184" spans="1:10">
      <c r="A184" s="1">
        <v>181</v>
      </c>
      <c r="B184" s="3">
        <v>44083</v>
      </c>
      <c r="C184" s="1" t="s">
        <v>2</v>
      </c>
      <c r="D184" s="1" t="s">
        <v>1</v>
      </c>
      <c r="E184" s="1" t="s">
        <v>3</v>
      </c>
      <c r="F184" s="1" t="s">
        <v>30</v>
      </c>
      <c r="G184" s="1" t="s">
        <v>33</v>
      </c>
      <c r="H184" s="1">
        <v>2020</v>
      </c>
      <c r="I184" s="1" t="s">
        <v>28</v>
      </c>
      <c r="J184" s="2">
        <v>3011</v>
      </c>
    </row>
    <row r="185" spans="1:10">
      <c r="A185" s="1">
        <v>182</v>
      </c>
      <c r="B185" s="3">
        <v>44083</v>
      </c>
      <c r="C185" s="1" t="s">
        <v>8</v>
      </c>
      <c r="D185" s="1" t="s">
        <v>4</v>
      </c>
      <c r="E185" s="1" t="s">
        <v>12</v>
      </c>
      <c r="F185" s="1" t="s">
        <v>30</v>
      </c>
      <c r="G185" s="1" t="s">
        <v>33</v>
      </c>
      <c r="H185" s="1">
        <v>2020</v>
      </c>
      <c r="I185" s="1" t="s">
        <v>28</v>
      </c>
      <c r="J185" s="2">
        <v>4715</v>
      </c>
    </row>
    <row r="186" spans="1:10">
      <c r="A186" s="1">
        <v>183</v>
      </c>
      <c r="B186" s="3">
        <v>44085</v>
      </c>
      <c r="C186" s="1" t="s">
        <v>8</v>
      </c>
      <c r="D186" s="1" t="s">
        <v>4</v>
      </c>
      <c r="E186" s="1" t="s">
        <v>6</v>
      </c>
      <c r="F186" s="1" t="s">
        <v>30</v>
      </c>
      <c r="G186" s="1" t="s">
        <v>33</v>
      </c>
      <c r="H186" s="1">
        <v>2020</v>
      </c>
      <c r="I186" s="1" t="s">
        <v>28</v>
      </c>
      <c r="J186" s="2">
        <v>5321</v>
      </c>
    </row>
    <row r="187" spans="1:10">
      <c r="A187" s="1">
        <v>184</v>
      </c>
      <c r="B187" s="3">
        <v>44089</v>
      </c>
      <c r="C187" s="1" t="s">
        <v>13</v>
      </c>
      <c r="D187" s="1" t="s">
        <v>4</v>
      </c>
      <c r="E187" s="1" t="s">
        <v>3</v>
      </c>
      <c r="F187" s="1" t="s">
        <v>30</v>
      </c>
      <c r="G187" s="1" t="s">
        <v>33</v>
      </c>
      <c r="H187" s="1">
        <v>2020</v>
      </c>
      <c r="I187" s="1" t="s">
        <v>28</v>
      </c>
      <c r="J187" s="2">
        <v>8894</v>
      </c>
    </row>
    <row r="188" spans="1:10">
      <c r="A188" s="1">
        <v>185</v>
      </c>
      <c r="B188" s="3">
        <v>44090</v>
      </c>
      <c r="C188" s="1" t="s">
        <v>2</v>
      </c>
      <c r="D188" s="1" t="s">
        <v>1</v>
      </c>
      <c r="E188" s="1" t="s">
        <v>12</v>
      </c>
      <c r="F188" s="1" t="s">
        <v>26</v>
      </c>
      <c r="G188" s="1" t="s">
        <v>33</v>
      </c>
      <c r="H188" s="1">
        <v>2020</v>
      </c>
      <c r="I188" s="1" t="s">
        <v>28</v>
      </c>
      <c r="J188" s="2">
        <v>4846</v>
      </c>
    </row>
    <row r="189" spans="1:10">
      <c r="A189" s="1">
        <v>186</v>
      </c>
      <c r="B189" s="3">
        <v>44090</v>
      </c>
      <c r="C189" s="1" t="s">
        <v>14</v>
      </c>
      <c r="D189" s="1" t="s">
        <v>1</v>
      </c>
      <c r="E189" s="1" t="s">
        <v>9</v>
      </c>
      <c r="F189" s="1" t="s">
        <v>29</v>
      </c>
      <c r="G189" s="1" t="s">
        <v>33</v>
      </c>
      <c r="H189" s="1">
        <v>2020</v>
      </c>
      <c r="I189" s="1" t="s">
        <v>28</v>
      </c>
      <c r="J189" s="2">
        <v>284</v>
      </c>
    </row>
    <row r="190" spans="1:10">
      <c r="A190" s="1">
        <v>187</v>
      </c>
      <c r="B190" s="3">
        <v>44092</v>
      </c>
      <c r="C190" s="1" t="s">
        <v>5</v>
      </c>
      <c r="D190" s="1" t="s">
        <v>4</v>
      </c>
      <c r="E190" s="1" t="s">
        <v>12</v>
      </c>
      <c r="F190" s="1" t="s">
        <v>32</v>
      </c>
      <c r="G190" s="1" t="s">
        <v>33</v>
      </c>
      <c r="H190" s="1">
        <v>2020</v>
      </c>
      <c r="I190" s="1" t="s">
        <v>28</v>
      </c>
      <c r="J190" s="2">
        <v>8283</v>
      </c>
    </row>
    <row r="191" spans="1:10">
      <c r="A191" s="1">
        <v>188</v>
      </c>
      <c r="B191" s="3">
        <v>44094</v>
      </c>
      <c r="C191" s="1" t="s">
        <v>5</v>
      </c>
      <c r="D191" s="1" t="s">
        <v>4</v>
      </c>
      <c r="E191" s="1" t="s">
        <v>11</v>
      </c>
      <c r="F191" s="1" t="s">
        <v>32</v>
      </c>
      <c r="G191" s="1" t="s">
        <v>33</v>
      </c>
      <c r="H191" s="1">
        <v>2020</v>
      </c>
      <c r="I191" s="1" t="s">
        <v>28</v>
      </c>
      <c r="J191" s="2">
        <v>9990</v>
      </c>
    </row>
    <row r="192" spans="1:10">
      <c r="A192" s="1">
        <v>189</v>
      </c>
      <c r="B192" s="3">
        <v>44098</v>
      </c>
      <c r="C192" s="1" t="s">
        <v>13</v>
      </c>
      <c r="D192" s="1" t="s">
        <v>4</v>
      </c>
      <c r="E192" s="1" t="s">
        <v>0</v>
      </c>
      <c r="F192" s="1" t="s">
        <v>32</v>
      </c>
      <c r="G192" s="1" t="s">
        <v>33</v>
      </c>
      <c r="H192" s="1">
        <v>2020</v>
      </c>
      <c r="I192" s="1" t="s">
        <v>28</v>
      </c>
      <c r="J192" s="2">
        <v>9014</v>
      </c>
    </row>
    <row r="193" spans="1:10">
      <c r="A193" s="1">
        <v>190</v>
      </c>
      <c r="B193" s="3">
        <v>44098</v>
      </c>
      <c r="C193" s="1" t="s">
        <v>8</v>
      </c>
      <c r="D193" s="1" t="s">
        <v>4</v>
      </c>
      <c r="E193" s="1" t="s">
        <v>6</v>
      </c>
      <c r="F193" s="1" t="s">
        <v>32</v>
      </c>
      <c r="G193" s="1" t="s">
        <v>33</v>
      </c>
      <c r="H193" s="1">
        <v>2020</v>
      </c>
      <c r="I193" s="1" t="s">
        <v>28</v>
      </c>
      <c r="J193" s="2">
        <v>1942</v>
      </c>
    </row>
    <row r="194" spans="1:10">
      <c r="A194" s="1">
        <v>191</v>
      </c>
      <c r="B194" s="3">
        <v>44098</v>
      </c>
      <c r="C194" s="1" t="s">
        <v>13</v>
      </c>
      <c r="D194" s="1" t="s">
        <v>4</v>
      </c>
      <c r="E194" s="1" t="s">
        <v>3</v>
      </c>
      <c r="F194" s="1" t="s">
        <v>30</v>
      </c>
      <c r="G194" s="1" t="s">
        <v>33</v>
      </c>
      <c r="H194" s="1">
        <v>2020</v>
      </c>
      <c r="I194" s="1" t="s">
        <v>28</v>
      </c>
      <c r="J194" s="2">
        <v>7223</v>
      </c>
    </row>
    <row r="195" spans="1:10">
      <c r="A195" s="1">
        <v>192</v>
      </c>
      <c r="B195" s="3">
        <v>44099</v>
      </c>
      <c r="C195" s="1" t="s">
        <v>2</v>
      </c>
      <c r="D195" s="1" t="s">
        <v>1</v>
      </c>
      <c r="E195" s="1" t="s">
        <v>3</v>
      </c>
      <c r="F195" s="1" t="s">
        <v>30</v>
      </c>
      <c r="G195" s="1" t="s">
        <v>33</v>
      </c>
      <c r="H195" s="1">
        <v>2020</v>
      </c>
      <c r="I195" s="1" t="s">
        <v>28</v>
      </c>
      <c r="J195" s="2">
        <v>4673</v>
      </c>
    </row>
    <row r="196" spans="1:10">
      <c r="A196" s="1">
        <v>193</v>
      </c>
      <c r="B196" s="3">
        <v>44100</v>
      </c>
      <c r="C196" s="1" t="s">
        <v>2</v>
      </c>
      <c r="D196" s="1" t="s">
        <v>1</v>
      </c>
      <c r="E196" s="1" t="s">
        <v>6</v>
      </c>
      <c r="F196" s="1" t="s">
        <v>30</v>
      </c>
      <c r="G196" s="1" t="s">
        <v>33</v>
      </c>
      <c r="H196" s="1">
        <v>2020</v>
      </c>
      <c r="I196" s="1" t="s">
        <v>28</v>
      </c>
      <c r="J196" s="2">
        <v>9104</v>
      </c>
    </row>
    <row r="197" spans="1:10">
      <c r="A197" s="1">
        <v>194</v>
      </c>
      <c r="B197" s="3">
        <v>44101</v>
      </c>
      <c r="C197" s="1" t="s">
        <v>8</v>
      </c>
      <c r="D197" s="1" t="s">
        <v>4</v>
      </c>
      <c r="E197" s="1" t="s">
        <v>3</v>
      </c>
      <c r="F197" s="1" t="s">
        <v>30</v>
      </c>
      <c r="G197" s="1" t="s">
        <v>33</v>
      </c>
      <c r="H197" s="1">
        <v>2020</v>
      </c>
      <c r="I197" s="1" t="s">
        <v>28</v>
      </c>
      <c r="J197" s="2">
        <v>6078</v>
      </c>
    </row>
    <row r="198" spans="1:10">
      <c r="A198" s="1">
        <v>195</v>
      </c>
      <c r="B198" s="3">
        <v>44101</v>
      </c>
      <c r="C198" s="1" t="s">
        <v>7</v>
      </c>
      <c r="D198" s="1" t="s">
        <v>1</v>
      </c>
      <c r="E198" s="1" t="s">
        <v>9</v>
      </c>
      <c r="F198" s="1" t="s">
        <v>30</v>
      </c>
      <c r="G198" s="1" t="s">
        <v>33</v>
      </c>
      <c r="H198" s="1">
        <v>2020</v>
      </c>
      <c r="I198" s="1" t="s">
        <v>28</v>
      </c>
      <c r="J198" s="2">
        <v>3278</v>
      </c>
    </row>
    <row r="199" spans="1:10">
      <c r="A199" s="1">
        <v>196</v>
      </c>
      <c r="B199" s="3">
        <v>44102</v>
      </c>
      <c r="C199" s="1" t="s">
        <v>13</v>
      </c>
      <c r="D199" s="1" t="s">
        <v>4</v>
      </c>
      <c r="E199" s="1" t="s">
        <v>11</v>
      </c>
      <c r="F199" s="1" t="s">
        <v>26</v>
      </c>
      <c r="G199" s="1" t="s">
        <v>33</v>
      </c>
      <c r="H199" s="1">
        <v>2020</v>
      </c>
      <c r="I199" s="1" t="s">
        <v>28</v>
      </c>
      <c r="J199" s="2">
        <v>136</v>
      </c>
    </row>
    <row r="200" spans="1:10">
      <c r="A200" s="1">
        <v>197</v>
      </c>
      <c r="B200" s="3">
        <v>44102</v>
      </c>
      <c r="C200" s="1" t="s">
        <v>13</v>
      </c>
      <c r="D200" s="1" t="s">
        <v>4</v>
      </c>
      <c r="E200" s="1" t="s">
        <v>0</v>
      </c>
      <c r="F200" s="1" t="s">
        <v>26</v>
      </c>
      <c r="G200" s="1" t="s">
        <v>33</v>
      </c>
      <c r="H200" s="1">
        <v>2020</v>
      </c>
      <c r="I200" s="1" t="s">
        <v>28</v>
      </c>
      <c r="J200" s="2">
        <v>8377</v>
      </c>
    </row>
    <row r="201" spans="1:10">
      <c r="A201" s="1">
        <v>198</v>
      </c>
      <c r="B201" s="3">
        <v>44103</v>
      </c>
      <c r="C201" s="1" t="s">
        <v>13</v>
      </c>
      <c r="D201" s="1" t="s">
        <v>4</v>
      </c>
      <c r="E201" s="1" t="s">
        <v>3</v>
      </c>
      <c r="F201" s="1" t="s">
        <v>26</v>
      </c>
      <c r="G201" s="1" t="s">
        <v>33</v>
      </c>
      <c r="H201" s="1">
        <v>2020</v>
      </c>
      <c r="I201" s="1" t="s">
        <v>28</v>
      </c>
      <c r="J201" s="2">
        <v>2382</v>
      </c>
    </row>
    <row r="202" spans="1:10">
      <c r="A202" s="1">
        <v>199</v>
      </c>
      <c r="B202" s="3">
        <v>44104</v>
      </c>
      <c r="C202" s="1" t="s">
        <v>13</v>
      </c>
      <c r="D202" s="1" t="s">
        <v>4</v>
      </c>
      <c r="E202" s="1" t="s">
        <v>9</v>
      </c>
      <c r="F202" s="1" t="s">
        <v>26</v>
      </c>
      <c r="G202" s="1" t="s">
        <v>33</v>
      </c>
      <c r="H202" s="1">
        <v>2020</v>
      </c>
      <c r="I202" s="1" t="s">
        <v>28</v>
      </c>
      <c r="J202" s="2">
        <v>8702</v>
      </c>
    </row>
    <row r="203" spans="1:10">
      <c r="A203" s="1">
        <v>200</v>
      </c>
      <c r="B203" s="3">
        <v>44111</v>
      </c>
      <c r="C203" s="1" t="s">
        <v>13</v>
      </c>
      <c r="D203" s="1" t="s">
        <v>4</v>
      </c>
      <c r="E203" s="1" t="s">
        <v>3</v>
      </c>
      <c r="F203" s="1" t="s">
        <v>26</v>
      </c>
      <c r="G203" s="1" t="s">
        <v>34</v>
      </c>
      <c r="H203" s="1">
        <v>2020</v>
      </c>
      <c r="I203" s="1" t="s">
        <v>35</v>
      </c>
      <c r="J203" s="2">
        <v>5021</v>
      </c>
    </row>
    <row r="204" spans="1:10">
      <c r="A204" s="1">
        <v>201</v>
      </c>
      <c r="B204" s="3">
        <v>44111</v>
      </c>
      <c r="C204" s="1" t="s">
        <v>8</v>
      </c>
      <c r="D204" s="1" t="s">
        <v>4</v>
      </c>
      <c r="E204" s="1" t="s">
        <v>0</v>
      </c>
      <c r="F204" s="1" t="s">
        <v>26</v>
      </c>
      <c r="G204" s="1" t="s">
        <v>34</v>
      </c>
      <c r="H204" s="1">
        <v>2020</v>
      </c>
      <c r="I204" s="1" t="s">
        <v>35</v>
      </c>
      <c r="J204" s="2">
        <v>1760</v>
      </c>
    </row>
    <row r="205" spans="1:10">
      <c r="A205" s="1">
        <v>202</v>
      </c>
      <c r="B205" s="3">
        <v>44112</v>
      </c>
      <c r="C205" s="1" t="s">
        <v>13</v>
      </c>
      <c r="D205" s="1" t="s">
        <v>4</v>
      </c>
      <c r="E205" s="1" t="s">
        <v>9</v>
      </c>
      <c r="F205" s="1" t="s">
        <v>26</v>
      </c>
      <c r="G205" s="1" t="s">
        <v>34</v>
      </c>
      <c r="H205" s="1">
        <v>2020</v>
      </c>
      <c r="I205" s="1" t="s">
        <v>35</v>
      </c>
      <c r="J205" s="2">
        <v>4766</v>
      </c>
    </row>
    <row r="206" spans="1:10">
      <c r="A206" s="1">
        <v>203</v>
      </c>
      <c r="B206" s="3">
        <v>44112</v>
      </c>
      <c r="C206" s="1" t="s">
        <v>7</v>
      </c>
      <c r="D206" s="1" t="s">
        <v>1</v>
      </c>
      <c r="E206" s="1" t="s">
        <v>12</v>
      </c>
      <c r="F206" s="1" t="s">
        <v>26</v>
      </c>
      <c r="G206" s="1" t="s">
        <v>34</v>
      </c>
      <c r="H206" s="1">
        <v>2020</v>
      </c>
      <c r="I206" s="1" t="s">
        <v>35</v>
      </c>
      <c r="J206" s="2">
        <v>1541</v>
      </c>
    </row>
    <row r="207" spans="1:10">
      <c r="A207" s="1">
        <v>204</v>
      </c>
      <c r="B207" s="3">
        <v>44112</v>
      </c>
      <c r="C207" s="1" t="s">
        <v>5</v>
      </c>
      <c r="D207" s="1" t="s">
        <v>4</v>
      </c>
      <c r="E207" s="1" t="s">
        <v>12</v>
      </c>
      <c r="F207" s="1" t="s">
        <v>26</v>
      </c>
      <c r="G207" s="1" t="s">
        <v>34</v>
      </c>
      <c r="H207" s="1">
        <v>2020</v>
      </c>
      <c r="I207" s="1" t="s">
        <v>35</v>
      </c>
      <c r="J207" s="2">
        <v>2782</v>
      </c>
    </row>
    <row r="208" spans="1:10">
      <c r="A208" s="1">
        <v>205</v>
      </c>
      <c r="B208" s="3">
        <v>44113</v>
      </c>
      <c r="C208" s="1" t="s">
        <v>8</v>
      </c>
      <c r="D208" s="1" t="s">
        <v>4</v>
      </c>
      <c r="E208" s="1" t="s">
        <v>11</v>
      </c>
      <c r="F208" s="1" t="s">
        <v>26</v>
      </c>
      <c r="G208" s="1" t="s">
        <v>34</v>
      </c>
      <c r="H208" s="1">
        <v>2020</v>
      </c>
      <c r="I208" s="1" t="s">
        <v>35</v>
      </c>
      <c r="J208" s="2">
        <v>2455</v>
      </c>
    </row>
    <row r="209" spans="1:10">
      <c r="A209" s="1">
        <v>206</v>
      </c>
      <c r="B209" s="3">
        <v>44113</v>
      </c>
      <c r="C209" s="1" t="s">
        <v>8</v>
      </c>
      <c r="D209" s="1" t="s">
        <v>4</v>
      </c>
      <c r="E209" s="1" t="s">
        <v>10</v>
      </c>
      <c r="F209" s="1" t="s">
        <v>26</v>
      </c>
      <c r="G209" s="1" t="s">
        <v>34</v>
      </c>
      <c r="H209" s="1">
        <v>2020</v>
      </c>
      <c r="I209" s="1" t="s">
        <v>35</v>
      </c>
      <c r="J209" s="2">
        <v>4512</v>
      </c>
    </row>
    <row r="210" spans="1:10">
      <c r="A210" s="1">
        <v>207</v>
      </c>
      <c r="B210" s="3">
        <v>44113</v>
      </c>
      <c r="C210" s="1" t="s">
        <v>8</v>
      </c>
      <c r="D210" s="1" t="s">
        <v>4</v>
      </c>
      <c r="E210" s="1" t="s">
        <v>9</v>
      </c>
      <c r="F210" s="1" t="s">
        <v>26</v>
      </c>
      <c r="G210" s="1" t="s">
        <v>34</v>
      </c>
      <c r="H210" s="1">
        <v>2020</v>
      </c>
      <c r="I210" s="1" t="s">
        <v>35</v>
      </c>
      <c r="J210" s="2">
        <v>8752</v>
      </c>
    </row>
    <row r="211" spans="1:10">
      <c r="A211" s="1">
        <v>208</v>
      </c>
      <c r="B211" s="3">
        <v>44114</v>
      </c>
      <c r="C211" s="1" t="s">
        <v>2</v>
      </c>
      <c r="D211" s="1" t="s">
        <v>1</v>
      </c>
      <c r="E211" s="1" t="s">
        <v>3</v>
      </c>
      <c r="F211" s="1" t="s">
        <v>26</v>
      </c>
      <c r="G211" s="1" t="s">
        <v>34</v>
      </c>
      <c r="H211" s="1">
        <v>2020</v>
      </c>
      <c r="I211" s="1" t="s">
        <v>35</v>
      </c>
      <c r="J211" s="2">
        <v>9127</v>
      </c>
    </row>
    <row r="212" spans="1:10">
      <c r="A212" s="1">
        <v>209</v>
      </c>
      <c r="B212" s="3">
        <v>44116</v>
      </c>
      <c r="C212" s="1" t="s">
        <v>8</v>
      </c>
      <c r="D212" s="1" t="s">
        <v>4</v>
      </c>
      <c r="E212" s="1" t="s">
        <v>6</v>
      </c>
      <c r="F212" s="1" t="s">
        <v>26</v>
      </c>
      <c r="G212" s="1" t="s">
        <v>34</v>
      </c>
      <c r="H212" s="1">
        <v>2020</v>
      </c>
      <c r="I212" s="1" t="s">
        <v>35</v>
      </c>
      <c r="J212" s="2">
        <v>1777</v>
      </c>
    </row>
    <row r="213" spans="1:10">
      <c r="A213" s="1">
        <v>210</v>
      </c>
      <c r="B213" s="3">
        <v>44116</v>
      </c>
      <c r="C213" s="1" t="s">
        <v>7</v>
      </c>
      <c r="D213" s="1" t="s">
        <v>1</v>
      </c>
      <c r="E213" s="1" t="s">
        <v>6</v>
      </c>
      <c r="F213" s="1" t="s">
        <v>26</v>
      </c>
      <c r="G213" s="1" t="s">
        <v>34</v>
      </c>
      <c r="H213" s="1">
        <v>2020</v>
      </c>
      <c r="I213" s="1" t="s">
        <v>35</v>
      </c>
      <c r="J213" s="2">
        <v>680</v>
      </c>
    </row>
    <row r="214" spans="1:10">
      <c r="A214" s="1">
        <v>211</v>
      </c>
      <c r="B214" s="3">
        <v>44118</v>
      </c>
      <c r="C214" s="1" t="s">
        <v>5</v>
      </c>
      <c r="D214" s="1" t="s">
        <v>4</v>
      </c>
      <c r="E214" s="1" t="s">
        <v>3</v>
      </c>
      <c r="F214" s="1" t="s">
        <v>26</v>
      </c>
      <c r="G214" s="1" t="s">
        <v>34</v>
      </c>
      <c r="H214" s="1">
        <v>2020</v>
      </c>
      <c r="I214" s="1" t="s">
        <v>35</v>
      </c>
      <c r="J214" s="2">
        <v>958</v>
      </c>
    </row>
    <row r="215" spans="1:10">
      <c r="A215" s="1">
        <v>212</v>
      </c>
      <c r="B215" s="3">
        <v>44119</v>
      </c>
      <c r="C215" s="1" t="s">
        <v>2</v>
      </c>
      <c r="D215" s="1" t="s">
        <v>1</v>
      </c>
      <c r="E215" s="1" t="s">
        <v>0</v>
      </c>
      <c r="F215" s="1" t="s">
        <v>26</v>
      </c>
      <c r="G215" s="1" t="s">
        <v>34</v>
      </c>
      <c r="H215" s="1">
        <v>2020</v>
      </c>
      <c r="I215" s="1" t="s">
        <v>35</v>
      </c>
      <c r="J215" s="2">
        <v>2613</v>
      </c>
    </row>
    <row r="216" spans="1:10">
      <c r="A216" s="1">
        <v>213</v>
      </c>
      <c r="B216" s="3">
        <v>44122</v>
      </c>
      <c r="C216" s="1" t="s">
        <v>2</v>
      </c>
      <c r="D216" s="1" t="s">
        <v>1</v>
      </c>
      <c r="E216" s="1" t="s">
        <v>0</v>
      </c>
      <c r="F216" s="1" t="s">
        <v>30</v>
      </c>
      <c r="G216" s="1" t="s">
        <v>34</v>
      </c>
      <c r="H216" s="1">
        <v>2020</v>
      </c>
      <c r="I216" s="1" t="s">
        <v>35</v>
      </c>
      <c r="J216" s="2">
        <v>339</v>
      </c>
    </row>
    <row r="217" spans="1:10">
      <c r="A217" s="28">
        <v>214</v>
      </c>
      <c r="B217" s="15">
        <v>44123</v>
      </c>
      <c r="C217" t="s">
        <v>2</v>
      </c>
      <c r="D217" t="s">
        <v>1</v>
      </c>
      <c r="E217" t="s">
        <v>84</v>
      </c>
      <c r="F217" t="s">
        <v>30</v>
      </c>
      <c r="G217" t="s">
        <v>34</v>
      </c>
      <c r="H217">
        <v>2020</v>
      </c>
      <c r="I217" t="s">
        <v>35</v>
      </c>
      <c r="J217">
        <v>5000</v>
      </c>
    </row>
  </sheetData>
  <mergeCells count="1">
    <mergeCell ref="A1:J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71296B-5F0E-40FB-9B22-F359BB8405D3}">
  <sheetPr>
    <tabColor theme="8" tint="-0.249977111117893"/>
  </sheetPr>
  <dimension ref="A1:N30"/>
  <sheetViews>
    <sheetView zoomScale="70" zoomScaleNormal="70" workbookViewId="0">
      <selection activeCell="B21" sqref="B21"/>
    </sheetView>
  </sheetViews>
  <sheetFormatPr defaultRowHeight="14.4"/>
  <cols>
    <col min="1" max="1" width="15" bestFit="1" customWidth="1"/>
    <col min="2" max="2" width="16.88671875" bestFit="1" customWidth="1"/>
    <col min="3" max="3" width="15.33203125" bestFit="1" customWidth="1"/>
    <col min="4" max="4" width="9.44140625" bestFit="1" customWidth="1"/>
    <col min="5" max="5" width="15" bestFit="1" customWidth="1"/>
    <col min="6" max="6" width="18.6640625" bestFit="1" customWidth="1"/>
    <col min="7" max="7" width="11" bestFit="1" customWidth="1"/>
    <col min="8" max="9" width="15" bestFit="1" customWidth="1"/>
    <col min="10" max="10" width="15.88671875" bestFit="1" customWidth="1"/>
    <col min="11" max="11" width="15" bestFit="1" customWidth="1"/>
    <col min="12" max="12" width="15.88671875" bestFit="1" customWidth="1"/>
    <col min="13" max="13" width="15" bestFit="1" customWidth="1"/>
    <col min="14" max="14" width="11.6640625" bestFit="1" customWidth="1"/>
    <col min="15" max="15" width="14.88671875" bestFit="1" customWidth="1"/>
  </cols>
  <sheetData>
    <row r="1" spans="1:14">
      <c r="A1" s="19" t="s">
        <v>19</v>
      </c>
      <c r="B1" t="s">
        <v>71</v>
      </c>
      <c r="E1" s="19" t="s">
        <v>19</v>
      </c>
      <c r="F1" t="s">
        <v>71</v>
      </c>
    </row>
    <row r="3" spans="1:14">
      <c r="A3" s="19" t="s">
        <v>16</v>
      </c>
      <c r="B3" t="s">
        <v>69</v>
      </c>
      <c r="C3" t="s">
        <v>76</v>
      </c>
      <c r="E3" s="19" t="s">
        <v>70</v>
      </c>
      <c r="F3" t="s">
        <v>72</v>
      </c>
      <c r="H3" s="19" t="s">
        <v>22</v>
      </c>
      <c r="I3" t="s">
        <v>73</v>
      </c>
      <c r="K3" s="19" t="s">
        <v>22</v>
      </c>
      <c r="L3" t="s">
        <v>74</v>
      </c>
    </row>
    <row r="4" spans="1:14">
      <c r="A4" s="20" t="s">
        <v>9</v>
      </c>
      <c r="B4" s="21">
        <v>155168</v>
      </c>
      <c r="C4" s="21">
        <v>4702.060606060606</v>
      </c>
      <c r="E4" s="20" t="s">
        <v>8</v>
      </c>
      <c r="F4" s="21">
        <v>9082</v>
      </c>
      <c r="H4" s="20" t="s">
        <v>29</v>
      </c>
      <c r="I4" s="21">
        <v>28873</v>
      </c>
      <c r="K4" s="20" t="s">
        <v>29</v>
      </c>
      <c r="L4">
        <v>10</v>
      </c>
    </row>
    <row r="5" spans="1:14">
      <c r="A5" s="20" t="s">
        <v>67</v>
      </c>
      <c r="B5" s="21">
        <v>155168</v>
      </c>
      <c r="C5" s="21">
        <v>4702.060606060606</v>
      </c>
      <c r="E5" s="20" t="s">
        <v>13</v>
      </c>
      <c r="F5" s="21">
        <v>39686</v>
      </c>
      <c r="H5" s="20" t="s">
        <v>30</v>
      </c>
      <c r="I5" s="21">
        <v>38437</v>
      </c>
      <c r="K5" s="20" t="s">
        <v>30</v>
      </c>
      <c r="L5">
        <v>7</v>
      </c>
    </row>
    <row r="6" spans="1:14">
      <c r="E6" s="20" t="s">
        <v>7</v>
      </c>
      <c r="F6" s="21">
        <v>29905</v>
      </c>
      <c r="H6" s="20" t="s">
        <v>26</v>
      </c>
      <c r="I6" s="21">
        <v>75612</v>
      </c>
      <c r="K6" s="20" t="s">
        <v>26</v>
      </c>
      <c r="L6">
        <v>11</v>
      </c>
    </row>
    <row r="7" spans="1:14">
      <c r="E7" s="20" t="s">
        <v>14</v>
      </c>
      <c r="F7" s="21">
        <v>37197</v>
      </c>
      <c r="H7" s="20" t="s">
        <v>32</v>
      </c>
      <c r="I7" s="21">
        <v>12246</v>
      </c>
      <c r="K7" s="20" t="s">
        <v>32</v>
      </c>
      <c r="L7">
        <v>5</v>
      </c>
    </row>
    <row r="8" spans="1:14">
      <c r="E8" s="20" t="s">
        <v>2</v>
      </c>
      <c r="F8" s="21">
        <v>21636</v>
      </c>
      <c r="H8" s="20" t="s">
        <v>67</v>
      </c>
      <c r="I8" s="21">
        <v>155168</v>
      </c>
      <c r="K8" s="20" t="s">
        <v>67</v>
      </c>
      <c r="L8">
        <v>33</v>
      </c>
    </row>
    <row r="9" spans="1:14">
      <c r="E9" s="20" t="s">
        <v>15</v>
      </c>
      <c r="F9" s="21">
        <v>8775</v>
      </c>
    </row>
    <row r="10" spans="1:14">
      <c r="E10" s="20" t="s">
        <v>5</v>
      </c>
      <c r="F10" s="21">
        <v>8887</v>
      </c>
    </row>
    <row r="11" spans="1:14">
      <c r="E11" s="20" t="s">
        <v>67</v>
      </c>
      <c r="F11" s="21">
        <v>155168</v>
      </c>
    </row>
    <row r="14" spans="1:14">
      <c r="A14" s="19" t="s">
        <v>77</v>
      </c>
      <c r="B14" t="s">
        <v>78</v>
      </c>
      <c r="E14" s="19" t="s">
        <v>70</v>
      </c>
      <c r="F14" t="s">
        <v>79</v>
      </c>
      <c r="H14" s="19" t="s">
        <v>80</v>
      </c>
      <c r="I14" s="19" t="s">
        <v>77</v>
      </c>
      <c r="M14" s="19" t="s">
        <v>23</v>
      </c>
      <c r="N14" t="s">
        <v>81</v>
      </c>
    </row>
    <row r="15" spans="1:14">
      <c r="A15" s="20" t="s">
        <v>4</v>
      </c>
      <c r="B15" s="22">
        <v>0.4281166219839142</v>
      </c>
      <c r="E15" s="20" t="s">
        <v>8</v>
      </c>
      <c r="F15">
        <v>2</v>
      </c>
      <c r="H15" s="19" t="s">
        <v>16</v>
      </c>
      <c r="I15" s="23" t="s">
        <v>4</v>
      </c>
      <c r="J15" s="23" t="s">
        <v>1</v>
      </c>
      <c r="K15" s="23" t="s">
        <v>67</v>
      </c>
      <c r="M15" s="20" t="s">
        <v>38</v>
      </c>
      <c r="N15" s="21">
        <v>12703</v>
      </c>
    </row>
    <row r="16" spans="1:14">
      <c r="A16" s="20" t="s">
        <v>1</v>
      </c>
      <c r="B16" s="22">
        <v>0.5718833780160858</v>
      </c>
      <c r="E16" s="20" t="s">
        <v>13</v>
      </c>
      <c r="F16">
        <v>9</v>
      </c>
      <c r="H16" s="20" t="s">
        <v>9</v>
      </c>
      <c r="I16" s="24">
        <v>66430</v>
      </c>
      <c r="J16" s="24">
        <v>88738</v>
      </c>
      <c r="K16" s="24">
        <v>155168</v>
      </c>
      <c r="M16" s="20" t="s">
        <v>40</v>
      </c>
      <c r="N16" s="21">
        <v>12829</v>
      </c>
    </row>
    <row r="17" spans="1:14">
      <c r="A17" s="20" t="s">
        <v>67</v>
      </c>
      <c r="B17" s="22">
        <v>1</v>
      </c>
      <c r="E17" s="20" t="s">
        <v>7</v>
      </c>
      <c r="F17">
        <v>6</v>
      </c>
      <c r="H17" s="20" t="s">
        <v>67</v>
      </c>
      <c r="I17" s="24">
        <v>66430</v>
      </c>
      <c r="J17" s="24">
        <v>88738</v>
      </c>
      <c r="K17" s="24">
        <v>155168</v>
      </c>
      <c r="M17" s="20" t="s">
        <v>41</v>
      </c>
      <c r="N17" s="21">
        <v>3263</v>
      </c>
    </row>
    <row r="18" spans="1:14">
      <c r="E18" s="20" t="s">
        <v>14</v>
      </c>
      <c r="F18">
        <v>8</v>
      </c>
      <c r="M18" s="20" t="s">
        <v>42</v>
      </c>
      <c r="N18" s="21">
        <v>29253</v>
      </c>
    </row>
    <row r="19" spans="1:14">
      <c r="E19" s="20" t="s">
        <v>2</v>
      </c>
      <c r="F19">
        <v>6</v>
      </c>
      <c r="M19" s="20" t="s">
        <v>43</v>
      </c>
      <c r="N19" s="21">
        <v>14645</v>
      </c>
    </row>
    <row r="20" spans="1:14">
      <c r="A20" s="19" t="s">
        <v>77</v>
      </c>
      <c r="B20" t="s">
        <v>78</v>
      </c>
      <c r="E20" s="20" t="s">
        <v>15</v>
      </c>
      <c r="F20">
        <v>1</v>
      </c>
      <c r="M20" s="20" t="s">
        <v>45</v>
      </c>
      <c r="N20" s="21">
        <v>7319</v>
      </c>
    </row>
    <row r="21" spans="1:14">
      <c r="A21" s="20" t="s">
        <v>4</v>
      </c>
      <c r="B21" s="22">
        <v>0.4281166219839142</v>
      </c>
      <c r="E21" s="20" t="s">
        <v>5</v>
      </c>
      <c r="F21">
        <v>1</v>
      </c>
      <c r="M21" s="20" t="s">
        <v>27</v>
      </c>
      <c r="N21" s="21">
        <v>9777</v>
      </c>
    </row>
    <row r="22" spans="1:14">
      <c r="A22" s="20" t="s">
        <v>1</v>
      </c>
      <c r="B22" s="22">
        <v>0.5718833780160858</v>
      </c>
      <c r="E22" s="20" t="s">
        <v>67</v>
      </c>
      <c r="F22">
        <v>33</v>
      </c>
      <c r="M22" s="20" t="s">
        <v>31</v>
      </c>
      <c r="N22" s="21">
        <v>27042</v>
      </c>
    </row>
    <row r="23" spans="1:14">
      <c r="A23" s="20" t="s">
        <v>67</v>
      </c>
      <c r="B23" s="22">
        <v>1</v>
      </c>
      <c r="M23" s="20" t="s">
        <v>33</v>
      </c>
      <c r="N23" s="21">
        <v>14666</v>
      </c>
    </row>
    <row r="24" spans="1:14">
      <c r="M24" s="20" t="s">
        <v>34</v>
      </c>
      <c r="N24" s="21">
        <v>21768</v>
      </c>
    </row>
    <row r="25" spans="1:14">
      <c r="M25" s="20" t="s">
        <v>36</v>
      </c>
      <c r="N25" s="21">
        <v>1903</v>
      </c>
    </row>
    <row r="26" spans="1:14">
      <c r="E26" s="25" t="s">
        <v>82</v>
      </c>
      <c r="F26" s="23" t="s">
        <v>68</v>
      </c>
      <c r="I26" s="19" t="s">
        <v>24</v>
      </c>
      <c r="J26" t="s">
        <v>83</v>
      </c>
      <c r="M26" s="20" t="s">
        <v>67</v>
      </c>
      <c r="N26" s="21">
        <v>155168</v>
      </c>
    </row>
    <row r="27" spans="1:14">
      <c r="F27" s="23">
        <v>33</v>
      </c>
      <c r="I27" s="20">
        <v>2019</v>
      </c>
      <c r="J27" s="21">
        <v>12779</v>
      </c>
    </row>
    <row r="28" spans="1:14">
      <c r="I28" s="20">
        <v>2020</v>
      </c>
      <c r="J28" s="21">
        <v>142389</v>
      </c>
    </row>
    <row r="29" spans="1:14">
      <c r="E29" s="25" t="s">
        <v>82</v>
      </c>
      <c r="F29" s="23" t="s">
        <v>75</v>
      </c>
      <c r="I29" s="20" t="s">
        <v>67</v>
      </c>
      <c r="J29" s="21">
        <v>155168</v>
      </c>
    </row>
    <row r="30" spans="1:14">
      <c r="F30" s="24">
        <v>4702.060606060606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E13E01-70D7-4210-8AD2-BF14C7446FED}">
  <dimension ref="F3:G11"/>
  <sheetViews>
    <sheetView workbookViewId="0">
      <selection activeCell="D12" sqref="D12"/>
    </sheetView>
  </sheetViews>
  <sheetFormatPr defaultRowHeight="14.4"/>
  <sheetData>
    <row r="3" spans="6:7">
      <c r="F3" t="s">
        <v>70</v>
      </c>
      <c r="G3" t="s">
        <v>72</v>
      </c>
    </row>
    <row r="4" spans="6:7">
      <c r="F4" s="25" t="s">
        <v>8</v>
      </c>
      <c r="G4" s="25">
        <v>191257</v>
      </c>
    </row>
    <row r="5" spans="6:7">
      <c r="F5" s="25" t="s">
        <v>13</v>
      </c>
      <c r="G5" s="25">
        <v>345295</v>
      </c>
    </row>
    <row r="6" spans="6:7">
      <c r="F6" s="25" t="s">
        <v>7</v>
      </c>
      <c r="G6" s="25">
        <v>57281</v>
      </c>
    </row>
    <row r="7" spans="6:7">
      <c r="F7" s="25" t="s">
        <v>14</v>
      </c>
      <c r="G7" s="25">
        <v>142439</v>
      </c>
    </row>
    <row r="8" spans="6:7">
      <c r="F8" s="35" t="s">
        <v>2</v>
      </c>
      <c r="G8" s="35">
        <v>136945</v>
      </c>
    </row>
    <row r="9" spans="6:7">
      <c r="F9" s="35" t="s">
        <v>15</v>
      </c>
      <c r="G9" s="35">
        <v>57079</v>
      </c>
    </row>
    <row r="10" spans="6:7">
      <c r="F10" s="35" t="s">
        <v>5</v>
      </c>
      <c r="G10" s="35">
        <v>104438</v>
      </c>
    </row>
    <row r="11" spans="6:7">
      <c r="G11">
        <f>SUM(G8:G10)</f>
        <v>298462</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A736A8-33F5-471B-BA80-C154C51B0754}">
  <dimension ref="A3:H18"/>
  <sheetViews>
    <sheetView view="pageBreakPreview" zoomScale="145" zoomScaleNormal="130" zoomScaleSheetLayoutView="145" workbookViewId="0">
      <selection activeCell="D9" sqref="D9:D10"/>
    </sheetView>
  </sheetViews>
  <sheetFormatPr defaultRowHeight="14.4"/>
  <cols>
    <col min="1" max="1" width="14.88671875" bestFit="1" customWidth="1"/>
    <col min="3" max="3" width="12.44140625" bestFit="1" customWidth="1"/>
    <col min="4" max="7" width="11.6640625" bestFit="1" customWidth="1"/>
    <col min="8" max="8" width="11.109375" bestFit="1" customWidth="1"/>
  </cols>
  <sheetData>
    <row r="3" spans="1:8">
      <c r="A3" s="26" t="s">
        <v>66</v>
      </c>
      <c r="B3" s="23"/>
      <c r="C3" s="23"/>
      <c r="D3" s="26" t="s">
        <v>22</v>
      </c>
      <c r="E3" s="23"/>
      <c r="F3" s="23"/>
      <c r="G3" s="23"/>
      <c r="H3" s="23"/>
    </row>
    <row r="4" spans="1:8">
      <c r="A4" s="26" t="s">
        <v>16</v>
      </c>
      <c r="B4" s="26" t="s">
        <v>19</v>
      </c>
      <c r="C4" s="26" t="s">
        <v>20</v>
      </c>
      <c r="D4" s="23" t="s">
        <v>29</v>
      </c>
      <c r="E4" s="23" t="s">
        <v>30</v>
      </c>
      <c r="F4" s="23" t="s">
        <v>26</v>
      </c>
      <c r="G4" s="23" t="s">
        <v>32</v>
      </c>
      <c r="H4" s="23" t="s">
        <v>67</v>
      </c>
    </row>
    <row r="5" spans="1:8">
      <c r="A5" t="s">
        <v>9</v>
      </c>
      <c r="D5" s="27"/>
      <c r="E5" s="27"/>
      <c r="F5" s="27"/>
      <c r="G5" s="27"/>
      <c r="H5" s="27"/>
    </row>
    <row r="6" spans="1:8">
      <c r="B6" t="s">
        <v>4</v>
      </c>
      <c r="D6" s="27"/>
      <c r="E6" s="27"/>
      <c r="F6" s="27"/>
      <c r="G6" s="27"/>
      <c r="H6" s="27"/>
    </row>
    <row r="7" spans="1:8">
      <c r="C7" t="s">
        <v>8</v>
      </c>
      <c r="D7" s="27"/>
      <c r="E7" s="27"/>
      <c r="F7" s="27">
        <v>8752</v>
      </c>
      <c r="G7" s="27">
        <v>330</v>
      </c>
      <c r="H7" s="27">
        <v>9082</v>
      </c>
    </row>
    <row r="8" spans="1:8">
      <c r="C8" t="s">
        <v>13</v>
      </c>
      <c r="D8" s="27">
        <v>14336</v>
      </c>
      <c r="E8" s="27">
        <v>9046</v>
      </c>
      <c r="F8" s="27">
        <v>13468</v>
      </c>
      <c r="G8" s="27">
        <v>2836</v>
      </c>
      <c r="H8" s="27">
        <v>39686</v>
      </c>
    </row>
    <row r="9" spans="1:8">
      <c r="C9" t="s">
        <v>15</v>
      </c>
      <c r="D9" s="27"/>
      <c r="E9" s="27">
        <v>8775</v>
      </c>
      <c r="F9" s="27"/>
      <c r="G9" s="27"/>
      <c r="H9" s="27">
        <v>8775</v>
      </c>
    </row>
    <row r="10" spans="1:8">
      <c r="C10" t="s">
        <v>5</v>
      </c>
      <c r="D10" s="27"/>
      <c r="E10" s="27"/>
      <c r="F10" s="27">
        <v>8887</v>
      </c>
      <c r="G10" s="27"/>
      <c r="H10" s="27">
        <v>8887</v>
      </c>
    </row>
    <row r="11" spans="1:8">
      <c r="B11" t="s">
        <v>93</v>
      </c>
      <c r="D11" s="27">
        <v>14336</v>
      </c>
      <c r="E11" s="27">
        <v>17821</v>
      </c>
      <c r="F11" s="27">
        <v>31107</v>
      </c>
      <c r="G11" s="27">
        <v>3166</v>
      </c>
      <c r="H11" s="27">
        <v>66430</v>
      </c>
    </row>
    <row r="12" spans="1:8">
      <c r="B12" t="s">
        <v>1</v>
      </c>
      <c r="D12" s="27"/>
      <c r="E12" s="27"/>
      <c r="F12" s="27"/>
      <c r="G12" s="27"/>
      <c r="H12" s="27"/>
    </row>
    <row r="13" spans="1:8">
      <c r="C13" t="s">
        <v>7</v>
      </c>
      <c r="D13" s="27">
        <v>6045</v>
      </c>
      <c r="E13" s="27">
        <v>16133</v>
      </c>
      <c r="F13" s="27">
        <v>5101</v>
      </c>
      <c r="G13" s="27">
        <v>2626</v>
      </c>
      <c r="H13" s="27">
        <v>29905</v>
      </c>
    </row>
    <row r="14" spans="1:8">
      <c r="C14" t="s">
        <v>14</v>
      </c>
      <c r="D14" s="27">
        <v>561</v>
      </c>
      <c r="E14" s="27">
        <v>4483</v>
      </c>
      <c r="F14" s="27">
        <v>32153</v>
      </c>
      <c r="G14" s="27"/>
      <c r="H14" s="27">
        <v>37197</v>
      </c>
    </row>
    <row r="15" spans="1:8">
      <c r="C15" t="s">
        <v>2</v>
      </c>
      <c r="D15" s="27">
        <v>7931</v>
      </c>
      <c r="E15" s="27"/>
      <c r="F15" s="27">
        <v>7251</v>
      </c>
      <c r="G15" s="27">
        <v>6454</v>
      </c>
      <c r="H15" s="27">
        <v>21636</v>
      </c>
    </row>
    <row r="16" spans="1:8">
      <c r="B16" t="s">
        <v>94</v>
      </c>
      <c r="D16" s="27">
        <v>14537</v>
      </c>
      <c r="E16" s="27">
        <v>20616</v>
      </c>
      <c r="F16" s="27">
        <v>44505</v>
      </c>
      <c r="G16" s="27">
        <v>9080</v>
      </c>
      <c r="H16" s="27">
        <v>88738</v>
      </c>
    </row>
    <row r="17" spans="1:8">
      <c r="A17" t="s">
        <v>95</v>
      </c>
      <c r="D17" s="27">
        <v>28873</v>
      </c>
      <c r="E17" s="27">
        <v>38437</v>
      </c>
      <c r="F17" s="27">
        <v>75612</v>
      </c>
      <c r="G17" s="27">
        <v>12246</v>
      </c>
      <c r="H17" s="27">
        <v>155168</v>
      </c>
    </row>
    <row r="18" spans="1:8">
      <c r="A18" t="s">
        <v>67</v>
      </c>
      <c r="D18" s="27">
        <v>28873</v>
      </c>
      <c r="E18" s="27">
        <v>38437</v>
      </c>
      <c r="F18" s="27">
        <v>75612</v>
      </c>
      <c r="G18" s="27">
        <v>12246</v>
      </c>
      <c r="H18" s="27">
        <v>155168</v>
      </c>
    </row>
  </sheetData>
  <printOptions horizontalCentered="1" verticalCentered="1"/>
  <pageMargins left="0.7" right="0.7" top="0.75" bottom="0.75" header="0.3" footer="0.3"/>
  <pageSetup scale="87" orientation="portrait" r:id="rId2"/>
  <rowBreaks count="1" manualBreakCount="1">
    <brk id="49" max="16383"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74F2C4-205E-4578-894A-FA0D26F9F8AF}">
  <dimension ref="C3:AM6"/>
  <sheetViews>
    <sheetView showGridLines="0" zoomScale="40" zoomScaleNormal="40" workbookViewId="0">
      <selection activeCell="A9" sqref="A9"/>
    </sheetView>
  </sheetViews>
  <sheetFormatPr defaultRowHeight="14.4"/>
  <sheetData>
    <row r="3" spans="3:39">
      <c r="C3" s="44"/>
      <c r="D3" s="44"/>
      <c r="E3" s="44"/>
      <c r="F3" s="44"/>
      <c r="G3" s="44"/>
      <c r="H3" s="44"/>
      <c r="I3" s="44"/>
      <c r="J3" s="44"/>
      <c r="K3" s="44"/>
      <c r="L3" s="44"/>
      <c r="M3" s="44"/>
      <c r="N3" s="44"/>
      <c r="O3" s="44"/>
      <c r="P3" s="44"/>
      <c r="Q3" s="44"/>
      <c r="R3" s="44"/>
      <c r="S3" s="44"/>
      <c r="T3" s="44"/>
      <c r="U3" s="44"/>
      <c r="V3" s="44"/>
      <c r="W3" s="44"/>
      <c r="X3" s="44"/>
      <c r="Y3" s="44"/>
      <c r="Z3" s="44"/>
      <c r="AA3" s="44"/>
      <c r="AB3" s="44"/>
      <c r="AC3" s="44"/>
      <c r="AD3" s="44"/>
      <c r="AE3" s="44"/>
      <c r="AF3" s="44"/>
      <c r="AG3" s="44"/>
    </row>
    <row r="4" spans="3:39">
      <c r="C4" s="44"/>
      <c r="D4" s="44"/>
      <c r="E4" s="44"/>
      <c r="F4" s="44"/>
      <c r="G4" s="44"/>
      <c r="H4" s="44"/>
      <c r="I4" s="44"/>
      <c r="J4" s="44"/>
      <c r="K4" s="44"/>
      <c r="L4" s="44"/>
      <c r="M4" s="44"/>
      <c r="N4" s="44"/>
      <c r="O4" s="44"/>
      <c r="P4" s="44"/>
      <c r="Q4" s="44"/>
      <c r="R4" s="44"/>
      <c r="S4" s="44"/>
      <c r="T4" s="44"/>
      <c r="U4" s="44"/>
      <c r="V4" s="44"/>
      <c r="W4" s="44"/>
      <c r="X4" s="44"/>
      <c r="Y4" s="44"/>
      <c r="Z4" s="44"/>
      <c r="AA4" s="44"/>
      <c r="AB4" s="44"/>
      <c r="AC4" s="44"/>
      <c r="AD4" s="44"/>
      <c r="AE4" s="44"/>
      <c r="AF4" s="44"/>
      <c r="AG4" s="44"/>
    </row>
    <row r="5" spans="3:39">
      <c r="C5" s="44"/>
      <c r="D5" s="44"/>
      <c r="E5" s="44"/>
      <c r="F5" s="44"/>
      <c r="G5" s="44"/>
      <c r="H5" s="44"/>
      <c r="I5" s="44"/>
      <c r="J5" s="44"/>
      <c r="K5" s="44"/>
      <c r="L5" s="44"/>
      <c r="M5" s="44"/>
      <c r="N5" s="44"/>
      <c r="O5" s="44"/>
      <c r="P5" s="44"/>
      <c r="Q5" s="44"/>
      <c r="R5" s="44"/>
      <c r="S5" s="44"/>
      <c r="T5" s="44"/>
      <c r="U5" s="44"/>
      <c r="V5" s="44"/>
      <c r="W5" s="44"/>
      <c r="X5" s="44"/>
      <c r="Y5" s="44"/>
      <c r="Z5" s="44"/>
      <c r="AA5" s="44"/>
      <c r="AB5" s="44"/>
      <c r="AC5" s="44"/>
      <c r="AD5" s="44"/>
      <c r="AE5" s="44"/>
      <c r="AF5" s="44"/>
      <c r="AG5" s="44"/>
      <c r="AM5" t="s">
        <v>96</v>
      </c>
    </row>
    <row r="6" spans="3:39">
      <c r="AM6">
        <v>2015</v>
      </c>
    </row>
  </sheetData>
  <mergeCells count="1">
    <mergeCell ref="C3:AG5"/>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A172DC-D65B-48B3-8BA0-5A0CF7D41263}">
  <dimension ref="F3:M16"/>
  <sheetViews>
    <sheetView workbookViewId="0">
      <selection activeCell="H9" sqref="H9"/>
    </sheetView>
  </sheetViews>
  <sheetFormatPr defaultRowHeight="14.4"/>
  <cols>
    <col min="5" max="7" width="12" bestFit="1" customWidth="1"/>
    <col min="12" max="12" width="12" bestFit="1" customWidth="1"/>
  </cols>
  <sheetData>
    <row r="3" spans="6:13">
      <c r="F3" s="5" t="s">
        <v>88</v>
      </c>
      <c r="G3" s="30" t="s">
        <v>87</v>
      </c>
      <c r="K3" s="34" t="s">
        <v>91</v>
      </c>
      <c r="L3" s="34" t="s">
        <v>85</v>
      </c>
      <c r="M3" s="34" t="s">
        <v>86</v>
      </c>
    </row>
    <row r="4" spans="6:13">
      <c r="F4" s="5" t="s">
        <v>85</v>
      </c>
      <c r="G4" s="29"/>
      <c r="K4" s="34" t="s">
        <v>92</v>
      </c>
      <c r="L4" s="45">
        <v>0</v>
      </c>
      <c r="M4" s="45"/>
    </row>
    <row r="5" spans="6:13">
      <c r="F5" s="5" t="s">
        <v>86</v>
      </c>
      <c r="G5" s="29">
        <v>0</v>
      </c>
    </row>
    <row r="6" spans="6:13">
      <c r="K6" s="25" t="s">
        <v>92</v>
      </c>
      <c r="L6" s="25"/>
    </row>
    <row r="8" spans="6:13">
      <c r="F8" s="31" t="s">
        <v>88</v>
      </c>
      <c r="G8" s="32" t="s">
        <v>85</v>
      </c>
    </row>
    <row r="12" spans="6:13">
      <c r="F12" s="34" t="s">
        <v>89</v>
      </c>
      <c r="G12" s="34" t="s">
        <v>90</v>
      </c>
    </row>
    <row r="13" spans="6:13">
      <c r="F13" s="34" t="s">
        <v>85</v>
      </c>
      <c r="G13" s="45">
        <v>0</v>
      </c>
    </row>
    <row r="14" spans="6:13">
      <c r="F14" s="34" t="s">
        <v>86</v>
      </c>
      <c r="G14" s="45"/>
    </row>
    <row r="16" spans="6:13">
      <c r="F16" s="25" t="s">
        <v>90</v>
      </c>
      <c r="G16" s="33"/>
    </row>
  </sheetData>
  <mergeCells count="2">
    <mergeCell ref="L4:M4"/>
    <mergeCell ref="G13:G14"/>
  </mergeCells>
  <dataValidations count="6">
    <dataValidation type="list" allowBlank="1" showInputMessage="1" showErrorMessage="1" sqref="F8" xr:uid="{12CD1F9F-AC95-4149-8D1E-B05EE9AEC317}">
      <formula1>$F$3:$G$3</formula1>
    </dataValidation>
    <dataValidation type="list" allowBlank="1" showInputMessage="1" showErrorMessage="1" sqref="G8" xr:uid="{1EA0DB9E-367C-4101-841F-E0ED3C2866AB}">
      <formula1>INDIRECT($F$8)</formula1>
    </dataValidation>
    <dataValidation type="list" allowBlank="1" showInputMessage="1" showErrorMessage="1" sqref="L6" xr:uid="{48ECD4E3-D86C-490C-9876-3053CFB3180C}">
      <formula1>INDIRECT($K$6)</formula1>
    </dataValidation>
    <dataValidation type="list" allowBlank="1" showInputMessage="1" showErrorMessage="1" sqref="K6" xr:uid="{0E888A0A-F95B-4B70-A072-AE26EDBB2C49}">
      <formula1>$K$3:$K$4</formula1>
    </dataValidation>
    <dataValidation type="list" allowBlank="1" showInputMessage="1" showErrorMessage="1" sqref="F16" xr:uid="{6F07A399-CDA5-47CA-86DD-433015A629FA}">
      <formula1>$F$12:$G$12</formula1>
    </dataValidation>
    <dataValidation type="list" allowBlank="1" showInputMessage="1" showErrorMessage="1" sqref="G16" xr:uid="{52FCA7A2-3BCE-4755-BCED-4FCD2766D79C}">
      <formula1>INDIRECT($F$16)</formula1>
    </dataValidation>
  </dataValidation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82D84F-E473-4329-B40D-0395D6CFC3AB}">
  <sheetPr>
    <tabColor theme="5" tint="-0.249977111117893"/>
  </sheetPr>
  <dimension ref="A1:L219"/>
  <sheetViews>
    <sheetView topLeftCell="A4" zoomScale="160" zoomScaleNormal="160" zoomScaleSheetLayoutView="145" workbookViewId="0">
      <selection activeCell="C8" sqref="C8"/>
    </sheetView>
  </sheetViews>
  <sheetFormatPr defaultRowHeight="14.4"/>
  <cols>
    <col min="1" max="1" width="9.33203125" customWidth="1"/>
    <col min="2" max="2" width="11.88671875" style="15" bestFit="1" customWidth="1"/>
    <col min="3" max="3" width="10" customWidth="1"/>
    <col min="4" max="4" width="11" bestFit="1" customWidth="1"/>
    <col min="5" max="5" width="12.5546875" bestFit="1" customWidth="1"/>
    <col min="7" max="7" width="10.88671875" customWidth="1"/>
    <col min="8" max="8" width="8.109375" customWidth="1"/>
    <col min="10" max="10" width="12.6640625" bestFit="1" customWidth="1"/>
  </cols>
  <sheetData>
    <row r="1" spans="1:12" ht="18" thickBot="1">
      <c r="A1" s="43" t="s">
        <v>46</v>
      </c>
      <c r="B1" s="43"/>
      <c r="C1" s="43"/>
      <c r="D1" s="43"/>
      <c r="E1" s="43"/>
      <c r="F1" s="43"/>
      <c r="G1" s="43"/>
      <c r="H1" s="43"/>
      <c r="I1" s="43"/>
      <c r="J1" s="43"/>
    </row>
    <row r="2" spans="1:12" ht="15" thickTop="1"/>
    <row r="3" spans="1:12">
      <c r="A3" s="7" t="s">
        <v>21</v>
      </c>
      <c r="B3" s="8" t="s">
        <v>17</v>
      </c>
      <c r="C3" s="9" t="s">
        <v>20</v>
      </c>
      <c r="D3" s="9" t="s">
        <v>19</v>
      </c>
      <c r="E3" s="9" t="s">
        <v>16</v>
      </c>
      <c r="F3" s="9" t="s">
        <v>22</v>
      </c>
      <c r="G3" s="9" t="s">
        <v>23</v>
      </c>
      <c r="H3" s="9" t="s">
        <v>24</v>
      </c>
      <c r="I3" s="9" t="s">
        <v>25</v>
      </c>
      <c r="J3" s="10" t="s">
        <v>18</v>
      </c>
    </row>
    <row r="4" spans="1:12">
      <c r="A4" s="5">
        <v>1</v>
      </c>
      <c r="B4" s="3">
        <v>43661</v>
      </c>
      <c r="C4" s="1" t="s">
        <v>2</v>
      </c>
      <c r="D4" s="1" t="s">
        <v>1</v>
      </c>
      <c r="E4" s="1" t="s">
        <v>3</v>
      </c>
      <c r="F4" s="4" t="s">
        <v>26</v>
      </c>
      <c r="G4" s="1" t="s">
        <v>27</v>
      </c>
      <c r="H4" s="1">
        <v>2019</v>
      </c>
      <c r="I4" s="1" t="s">
        <v>28</v>
      </c>
      <c r="J4" s="6">
        <v>4270</v>
      </c>
      <c r="L4" t="s">
        <v>48</v>
      </c>
    </row>
    <row r="5" spans="1:12">
      <c r="A5" s="5">
        <v>2</v>
      </c>
      <c r="B5" s="3">
        <v>43665</v>
      </c>
      <c r="C5" s="1" t="s">
        <v>14</v>
      </c>
      <c r="D5" s="1" t="s">
        <v>1</v>
      </c>
      <c r="E5" s="1" t="s">
        <v>12</v>
      </c>
      <c r="F5" s="4" t="s">
        <v>29</v>
      </c>
      <c r="G5" s="1" t="s">
        <v>27</v>
      </c>
      <c r="H5" s="1">
        <v>2019</v>
      </c>
      <c r="I5" s="1" t="s">
        <v>28</v>
      </c>
      <c r="J5" s="6">
        <v>8239</v>
      </c>
      <c r="L5" t="s">
        <v>49</v>
      </c>
    </row>
    <row r="6" spans="1:12">
      <c r="A6" s="5">
        <v>3</v>
      </c>
      <c r="B6" s="3">
        <v>43672</v>
      </c>
      <c r="C6" s="1" t="s">
        <v>13</v>
      </c>
      <c r="D6" s="1" t="s">
        <v>4</v>
      </c>
      <c r="E6" s="1" t="s">
        <v>3</v>
      </c>
      <c r="F6" s="4" t="s">
        <v>29</v>
      </c>
      <c r="G6" s="1" t="s">
        <v>27</v>
      </c>
      <c r="H6" s="1">
        <v>2019</v>
      </c>
      <c r="I6" s="1" t="s">
        <v>28</v>
      </c>
      <c r="J6" s="6">
        <v>617</v>
      </c>
      <c r="L6" t="s">
        <v>50</v>
      </c>
    </row>
    <row r="7" spans="1:12">
      <c r="A7" s="5">
        <v>4</v>
      </c>
      <c r="B7" s="3">
        <v>43688</v>
      </c>
      <c r="C7" s="1" t="s">
        <v>13</v>
      </c>
      <c r="D7" s="1" t="s">
        <v>4</v>
      </c>
      <c r="E7" s="1" t="s">
        <v>11</v>
      </c>
      <c r="F7" s="4" t="s">
        <v>30</v>
      </c>
      <c r="G7" s="1" t="s">
        <v>31</v>
      </c>
      <c r="H7" s="1">
        <v>2019</v>
      </c>
      <c r="I7" s="1" t="s">
        <v>28</v>
      </c>
      <c r="J7" s="6">
        <v>8384</v>
      </c>
    </row>
    <row r="8" spans="1:12">
      <c r="A8" s="5">
        <v>5</v>
      </c>
      <c r="B8" s="3">
        <v>43692</v>
      </c>
      <c r="C8" s="1" t="s">
        <v>7</v>
      </c>
      <c r="D8" s="1" t="s">
        <v>1</v>
      </c>
      <c r="E8" s="1" t="s">
        <v>9</v>
      </c>
      <c r="F8" s="4" t="s">
        <v>32</v>
      </c>
      <c r="G8" s="1" t="s">
        <v>31</v>
      </c>
      <c r="H8" s="1">
        <v>2019</v>
      </c>
      <c r="I8" s="1" t="s">
        <v>28</v>
      </c>
      <c r="J8" s="6">
        <v>2626</v>
      </c>
    </row>
    <row r="9" spans="1:12">
      <c r="A9" s="5">
        <v>6</v>
      </c>
      <c r="B9" s="3">
        <v>43699</v>
      </c>
      <c r="C9" s="1" t="s">
        <v>5</v>
      </c>
      <c r="D9" s="1" t="s">
        <v>4</v>
      </c>
      <c r="E9" s="1" t="s">
        <v>3</v>
      </c>
      <c r="F9" s="4" t="s">
        <v>26</v>
      </c>
      <c r="G9" s="1" t="s">
        <v>31</v>
      </c>
      <c r="H9" s="1">
        <v>2019</v>
      </c>
      <c r="I9" s="1" t="s">
        <v>28</v>
      </c>
      <c r="J9" s="6">
        <v>3610</v>
      </c>
    </row>
    <row r="10" spans="1:12">
      <c r="A10" s="5">
        <v>7</v>
      </c>
      <c r="B10" s="3">
        <v>43701</v>
      </c>
      <c r="C10" s="1" t="s">
        <v>14</v>
      </c>
      <c r="D10" s="1" t="s">
        <v>1</v>
      </c>
      <c r="E10" s="1" t="s">
        <v>0</v>
      </c>
      <c r="F10" s="4" t="s">
        <v>26</v>
      </c>
      <c r="G10" s="1" t="s">
        <v>31</v>
      </c>
      <c r="H10" s="1">
        <v>2019</v>
      </c>
      <c r="I10" s="1" t="s">
        <v>28</v>
      </c>
      <c r="J10" s="6">
        <v>9062</v>
      </c>
    </row>
    <row r="11" spans="1:12">
      <c r="A11" s="5">
        <v>8</v>
      </c>
      <c r="B11" s="3">
        <v>43723</v>
      </c>
      <c r="C11" s="1" t="s">
        <v>13</v>
      </c>
      <c r="D11" s="1" t="s">
        <v>4</v>
      </c>
      <c r="E11" s="1" t="s">
        <v>10</v>
      </c>
      <c r="F11" s="4" t="s">
        <v>29</v>
      </c>
      <c r="G11" s="1" t="s">
        <v>33</v>
      </c>
      <c r="H11" s="1">
        <v>2019</v>
      </c>
      <c r="I11" s="1" t="s">
        <v>28</v>
      </c>
      <c r="J11" s="6">
        <v>6906</v>
      </c>
    </row>
    <row r="12" spans="1:12">
      <c r="A12" s="5">
        <v>9</v>
      </c>
      <c r="B12" s="3">
        <v>43725</v>
      </c>
      <c r="C12" s="1" t="s">
        <v>8</v>
      </c>
      <c r="D12" s="1" t="s">
        <v>4</v>
      </c>
      <c r="E12" s="1" t="s">
        <v>6</v>
      </c>
      <c r="F12" s="4" t="s">
        <v>32</v>
      </c>
      <c r="G12" s="1" t="s">
        <v>33</v>
      </c>
      <c r="H12" s="1">
        <v>2019</v>
      </c>
      <c r="I12" s="1" t="s">
        <v>28</v>
      </c>
      <c r="J12" s="6">
        <v>2417</v>
      </c>
    </row>
    <row r="13" spans="1:12">
      <c r="A13" s="5">
        <v>10</v>
      </c>
      <c r="B13" s="3">
        <v>43754</v>
      </c>
      <c r="C13" s="1" t="s">
        <v>8</v>
      </c>
      <c r="D13" s="1" t="s">
        <v>4</v>
      </c>
      <c r="E13" s="1" t="s">
        <v>11</v>
      </c>
      <c r="F13" s="4" t="s">
        <v>26</v>
      </c>
      <c r="G13" s="1" t="s">
        <v>34</v>
      </c>
      <c r="H13" s="1">
        <v>2019</v>
      </c>
      <c r="I13" s="1" t="s">
        <v>35</v>
      </c>
      <c r="J13" s="6">
        <v>7431</v>
      </c>
    </row>
    <row r="14" spans="1:12">
      <c r="A14" s="5">
        <v>11</v>
      </c>
      <c r="B14" s="3">
        <v>43763</v>
      </c>
      <c r="C14" s="1" t="s">
        <v>13</v>
      </c>
      <c r="D14" s="1" t="s">
        <v>4</v>
      </c>
      <c r="E14" s="1" t="s">
        <v>9</v>
      </c>
      <c r="F14" s="4" t="s">
        <v>29</v>
      </c>
      <c r="G14" s="1" t="s">
        <v>34</v>
      </c>
      <c r="H14" s="1">
        <v>2019</v>
      </c>
      <c r="I14" s="1" t="s">
        <v>35</v>
      </c>
      <c r="J14" s="6">
        <v>8250</v>
      </c>
    </row>
    <row r="15" spans="1:12">
      <c r="A15" s="5">
        <v>12</v>
      </c>
      <c r="B15" s="3">
        <v>43774</v>
      </c>
      <c r="C15" s="1" t="s">
        <v>14</v>
      </c>
      <c r="D15" s="1" t="s">
        <v>1</v>
      </c>
      <c r="E15" s="1" t="s">
        <v>3</v>
      </c>
      <c r="F15" s="4" t="s">
        <v>26</v>
      </c>
      <c r="G15" s="1" t="s">
        <v>36</v>
      </c>
      <c r="H15" s="1">
        <v>2019</v>
      </c>
      <c r="I15" s="1" t="s">
        <v>35</v>
      </c>
      <c r="J15" s="6">
        <v>7012</v>
      </c>
    </row>
    <row r="16" spans="1:12">
      <c r="A16" s="5">
        <v>13</v>
      </c>
      <c r="B16" s="3">
        <v>43788</v>
      </c>
      <c r="C16" s="1" t="s">
        <v>2</v>
      </c>
      <c r="D16" s="1" t="s">
        <v>1</v>
      </c>
      <c r="E16" s="1" t="s">
        <v>9</v>
      </c>
      <c r="F16" s="4" t="s">
        <v>29</v>
      </c>
      <c r="G16" s="1" t="s">
        <v>36</v>
      </c>
      <c r="H16" s="1">
        <v>2019</v>
      </c>
      <c r="I16" s="1" t="s">
        <v>35</v>
      </c>
      <c r="J16" s="6">
        <v>1903</v>
      </c>
    </row>
    <row r="17" spans="1:10">
      <c r="A17" s="5">
        <v>14</v>
      </c>
      <c r="B17" s="3">
        <v>43796</v>
      </c>
      <c r="C17" s="1" t="s">
        <v>14</v>
      </c>
      <c r="D17" s="1" t="s">
        <v>1</v>
      </c>
      <c r="E17" s="1" t="s">
        <v>11</v>
      </c>
      <c r="F17" s="4" t="s">
        <v>32</v>
      </c>
      <c r="G17" s="1" t="s">
        <v>36</v>
      </c>
      <c r="H17" s="1">
        <v>2019</v>
      </c>
      <c r="I17" s="1" t="s">
        <v>35</v>
      </c>
      <c r="J17" s="6">
        <v>2824</v>
      </c>
    </row>
    <row r="18" spans="1:10">
      <c r="A18" s="5">
        <v>15</v>
      </c>
      <c r="B18" s="3">
        <v>43794</v>
      </c>
      <c r="C18" s="1" t="s">
        <v>8</v>
      </c>
      <c r="D18" s="1" t="s">
        <v>4</v>
      </c>
      <c r="E18" s="1" t="s">
        <v>6</v>
      </c>
      <c r="F18" s="4" t="s">
        <v>26</v>
      </c>
      <c r="G18" s="1" t="s">
        <v>36</v>
      </c>
      <c r="H18" s="1">
        <v>2019</v>
      </c>
      <c r="I18" s="1" t="s">
        <v>35</v>
      </c>
      <c r="J18" s="6">
        <v>6946</v>
      </c>
    </row>
    <row r="19" spans="1:10">
      <c r="A19" s="5">
        <v>16</v>
      </c>
      <c r="B19" s="3">
        <v>43798</v>
      </c>
      <c r="C19" s="1" t="s">
        <v>13</v>
      </c>
      <c r="D19" s="1" t="s">
        <v>4</v>
      </c>
      <c r="E19" s="1" t="s">
        <v>12</v>
      </c>
      <c r="F19" s="4" t="s">
        <v>30</v>
      </c>
      <c r="G19" s="1" t="s">
        <v>36</v>
      </c>
      <c r="H19" s="1">
        <v>2019</v>
      </c>
      <c r="I19" s="1" t="s">
        <v>35</v>
      </c>
      <c r="J19" s="6">
        <v>2320</v>
      </c>
    </row>
    <row r="20" spans="1:10">
      <c r="A20" s="5">
        <v>17</v>
      </c>
      <c r="B20" s="3">
        <v>43824</v>
      </c>
      <c r="C20" s="1" t="s">
        <v>13</v>
      </c>
      <c r="D20" s="1" t="s">
        <v>4</v>
      </c>
      <c r="E20" s="1" t="s">
        <v>3</v>
      </c>
      <c r="F20" s="4" t="s">
        <v>30</v>
      </c>
      <c r="G20" s="1" t="s">
        <v>37</v>
      </c>
      <c r="H20" s="1">
        <v>2019</v>
      </c>
      <c r="I20" s="1" t="s">
        <v>35</v>
      </c>
      <c r="J20" s="6">
        <v>2116</v>
      </c>
    </row>
    <row r="21" spans="1:10">
      <c r="A21" s="5">
        <v>18</v>
      </c>
      <c r="B21" s="3">
        <v>43826</v>
      </c>
      <c r="C21" s="1" t="s">
        <v>13</v>
      </c>
      <c r="D21" s="1" t="s">
        <v>4</v>
      </c>
      <c r="E21" s="1" t="s">
        <v>12</v>
      </c>
      <c r="F21" s="4" t="s">
        <v>30</v>
      </c>
      <c r="G21" s="1" t="s">
        <v>37</v>
      </c>
      <c r="H21" s="1">
        <v>2019</v>
      </c>
      <c r="I21" s="1" t="s">
        <v>35</v>
      </c>
      <c r="J21" s="6">
        <v>1135</v>
      </c>
    </row>
    <row r="22" spans="1:10">
      <c r="A22" s="5">
        <v>19</v>
      </c>
      <c r="B22" s="3">
        <v>43829</v>
      </c>
      <c r="C22" s="1" t="s">
        <v>14</v>
      </c>
      <c r="D22" s="1" t="s">
        <v>1</v>
      </c>
      <c r="E22" s="1" t="s">
        <v>12</v>
      </c>
      <c r="F22" s="4" t="s">
        <v>29</v>
      </c>
      <c r="G22" s="1" t="s">
        <v>37</v>
      </c>
      <c r="H22" s="1">
        <v>2019</v>
      </c>
      <c r="I22" s="1" t="s">
        <v>35</v>
      </c>
      <c r="J22" s="6">
        <v>3595</v>
      </c>
    </row>
    <row r="23" spans="1:10">
      <c r="A23" s="5">
        <v>20</v>
      </c>
      <c r="B23" s="3">
        <v>43845</v>
      </c>
      <c r="C23" s="1" t="s">
        <v>8</v>
      </c>
      <c r="D23" s="1" t="s">
        <v>4</v>
      </c>
      <c r="E23" s="1" t="s">
        <v>3</v>
      </c>
      <c r="F23" s="4" t="s">
        <v>26</v>
      </c>
      <c r="G23" s="1" t="s">
        <v>38</v>
      </c>
      <c r="H23" s="1">
        <v>2020</v>
      </c>
      <c r="I23" s="1" t="s">
        <v>39</v>
      </c>
      <c r="J23" s="6">
        <v>1161</v>
      </c>
    </row>
    <row r="24" spans="1:10">
      <c r="A24" s="5">
        <v>21</v>
      </c>
      <c r="B24" s="3">
        <v>43855</v>
      </c>
      <c r="C24" s="1" t="s">
        <v>5</v>
      </c>
      <c r="D24" s="1" t="s">
        <v>4</v>
      </c>
      <c r="E24" s="1" t="s">
        <v>6</v>
      </c>
      <c r="F24" s="4" t="s">
        <v>30</v>
      </c>
      <c r="G24" s="1" t="s">
        <v>38</v>
      </c>
      <c r="H24" s="1">
        <v>2020</v>
      </c>
      <c r="I24" s="1" t="s">
        <v>39</v>
      </c>
      <c r="J24" s="6">
        <v>2256</v>
      </c>
    </row>
    <row r="25" spans="1:10">
      <c r="A25" s="5">
        <v>22</v>
      </c>
      <c r="B25" s="3">
        <v>43859</v>
      </c>
      <c r="C25" s="1" t="s">
        <v>13</v>
      </c>
      <c r="D25" s="1" t="s">
        <v>4</v>
      </c>
      <c r="E25" s="1" t="s">
        <v>10</v>
      </c>
      <c r="F25" s="1" t="s">
        <v>26</v>
      </c>
      <c r="G25" s="1" t="s">
        <v>38</v>
      </c>
      <c r="H25" s="1">
        <v>2020</v>
      </c>
      <c r="I25" s="1" t="s">
        <v>39</v>
      </c>
      <c r="J25" s="6">
        <v>1004</v>
      </c>
    </row>
    <row r="26" spans="1:10">
      <c r="A26" s="5">
        <v>23</v>
      </c>
      <c r="B26" s="3">
        <v>43831</v>
      </c>
      <c r="C26" s="1" t="s">
        <v>13</v>
      </c>
      <c r="D26" s="1" t="s">
        <v>4</v>
      </c>
      <c r="E26" s="1" t="s">
        <v>11</v>
      </c>
      <c r="F26" s="1" t="s">
        <v>29</v>
      </c>
      <c r="G26" s="1" t="s">
        <v>38</v>
      </c>
      <c r="H26" s="1">
        <v>2020</v>
      </c>
      <c r="I26" s="1" t="s">
        <v>39</v>
      </c>
      <c r="J26" s="6">
        <v>3642</v>
      </c>
    </row>
    <row r="27" spans="1:10">
      <c r="A27" s="5">
        <v>24</v>
      </c>
      <c r="B27" s="3">
        <v>43832</v>
      </c>
      <c r="C27" s="1" t="s">
        <v>13</v>
      </c>
      <c r="D27" s="1" t="s">
        <v>4</v>
      </c>
      <c r="E27" s="1" t="s">
        <v>3</v>
      </c>
      <c r="F27" s="1" t="s">
        <v>26</v>
      </c>
      <c r="G27" s="1" t="s">
        <v>38</v>
      </c>
      <c r="H27" s="1">
        <v>2020</v>
      </c>
      <c r="I27" s="1" t="s">
        <v>39</v>
      </c>
      <c r="J27" s="6">
        <v>4582</v>
      </c>
    </row>
    <row r="28" spans="1:10">
      <c r="A28" s="5">
        <v>25</v>
      </c>
      <c r="B28" s="3">
        <v>43832</v>
      </c>
      <c r="C28" s="1" t="s">
        <v>7</v>
      </c>
      <c r="D28" s="1" t="s">
        <v>1</v>
      </c>
      <c r="E28" s="1" t="s">
        <v>12</v>
      </c>
      <c r="F28" s="1" t="s">
        <v>29</v>
      </c>
      <c r="G28" s="1" t="s">
        <v>38</v>
      </c>
      <c r="H28" s="1">
        <v>2020</v>
      </c>
      <c r="I28" s="1" t="s">
        <v>39</v>
      </c>
      <c r="J28" s="6">
        <v>3559</v>
      </c>
    </row>
    <row r="29" spans="1:10">
      <c r="A29" s="5">
        <v>26</v>
      </c>
      <c r="B29" s="3">
        <v>43832</v>
      </c>
      <c r="C29" s="1" t="s">
        <v>2</v>
      </c>
      <c r="D29" s="1" t="s">
        <v>1</v>
      </c>
      <c r="E29" s="1" t="s">
        <v>0</v>
      </c>
      <c r="F29" s="1" t="s">
        <v>26</v>
      </c>
      <c r="G29" s="1" t="s">
        <v>38</v>
      </c>
      <c r="H29" s="1">
        <v>2020</v>
      </c>
      <c r="I29" s="1" t="s">
        <v>39</v>
      </c>
      <c r="J29" s="6">
        <v>5154</v>
      </c>
    </row>
    <row r="30" spans="1:10">
      <c r="A30" s="5">
        <v>27</v>
      </c>
      <c r="B30" s="3">
        <v>43833</v>
      </c>
      <c r="C30" s="1" t="s">
        <v>15</v>
      </c>
      <c r="D30" s="1" t="s">
        <v>4</v>
      </c>
      <c r="E30" s="1" t="s">
        <v>6</v>
      </c>
      <c r="F30" s="1" t="s">
        <v>26</v>
      </c>
      <c r="G30" s="1" t="s">
        <v>38</v>
      </c>
      <c r="H30" s="1">
        <v>2020</v>
      </c>
      <c r="I30" s="1" t="s">
        <v>39</v>
      </c>
      <c r="J30" s="6">
        <v>7388</v>
      </c>
    </row>
    <row r="31" spans="1:10">
      <c r="A31" s="5">
        <v>28</v>
      </c>
      <c r="B31" s="3">
        <v>43839</v>
      </c>
      <c r="C31" s="1" t="s">
        <v>7</v>
      </c>
      <c r="D31" s="1" t="s">
        <v>1</v>
      </c>
      <c r="E31" s="1" t="s">
        <v>3</v>
      </c>
      <c r="F31" s="1" t="s">
        <v>30</v>
      </c>
      <c r="G31" s="1" t="s">
        <v>38</v>
      </c>
      <c r="H31" s="1">
        <v>2020</v>
      </c>
      <c r="I31" s="1" t="s">
        <v>39</v>
      </c>
      <c r="J31" s="6">
        <v>7163</v>
      </c>
    </row>
    <row r="32" spans="1:10">
      <c r="A32" s="5">
        <v>29</v>
      </c>
      <c r="B32" s="3">
        <v>43839</v>
      </c>
      <c r="C32" s="1" t="s">
        <v>7</v>
      </c>
      <c r="D32" s="1" t="s">
        <v>1</v>
      </c>
      <c r="E32" s="1" t="s">
        <v>9</v>
      </c>
      <c r="F32" s="1" t="s">
        <v>26</v>
      </c>
      <c r="G32" s="1" t="s">
        <v>38</v>
      </c>
      <c r="H32" s="1">
        <v>2020</v>
      </c>
      <c r="I32" s="1" t="s">
        <v>39</v>
      </c>
      <c r="J32" s="6">
        <v>5101</v>
      </c>
    </row>
    <row r="33" spans="1:10">
      <c r="A33" s="5">
        <v>30</v>
      </c>
      <c r="B33" s="3">
        <v>43841</v>
      </c>
      <c r="C33" s="1" t="s">
        <v>8</v>
      </c>
      <c r="D33" s="1" t="s">
        <v>4</v>
      </c>
      <c r="E33" s="1" t="s">
        <v>6</v>
      </c>
      <c r="F33" s="1" t="s">
        <v>29</v>
      </c>
      <c r="G33" s="1" t="s">
        <v>38</v>
      </c>
      <c r="H33" s="1">
        <v>2020</v>
      </c>
      <c r="I33" s="1" t="s">
        <v>39</v>
      </c>
      <c r="J33" s="6">
        <v>7602</v>
      </c>
    </row>
    <row r="34" spans="1:10">
      <c r="A34" s="5">
        <v>31</v>
      </c>
      <c r="B34" s="3">
        <v>43841</v>
      </c>
      <c r="C34" s="1" t="s">
        <v>15</v>
      </c>
      <c r="D34" s="1" t="s">
        <v>4</v>
      </c>
      <c r="E34" s="1" t="s">
        <v>3</v>
      </c>
      <c r="F34" s="1" t="s">
        <v>26</v>
      </c>
      <c r="G34" s="1" t="s">
        <v>38</v>
      </c>
      <c r="H34" s="1">
        <v>2020</v>
      </c>
      <c r="I34" s="1" t="s">
        <v>39</v>
      </c>
      <c r="J34" s="6">
        <v>1641</v>
      </c>
    </row>
    <row r="35" spans="1:10">
      <c r="A35" s="5">
        <v>32</v>
      </c>
      <c r="B35" s="3">
        <v>43842</v>
      </c>
      <c r="C35" s="1" t="s">
        <v>8</v>
      </c>
      <c r="D35" s="1" t="s">
        <v>4</v>
      </c>
      <c r="E35" s="1" t="s">
        <v>0</v>
      </c>
      <c r="F35" s="1" t="s">
        <v>32</v>
      </c>
      <c r="G35" s="1" t="s">
        <v>38</v>
      </c>
      <c r="H35" s="1">
        <v>2020</v>
      </c>
      <c r="I35" s="1" t="s">
        <v>39</v>
      </c>
      <c r="J35" s="6">
        <v>8892</v>
      </c>
    </row>
    <row r="36" spans="1:10">
      <c r="A36" s="5">
        <v>33</v>
      </c>
      <c r="B36" s="3">
        <v>43842</v>
      </c>
      <c r="C36" s="1" t="s">
        <v>8</v>
      </c>
      <c r="D36" s="1" t="s">
        <v>4</v>
      </c>
      <c r="E36" s="1" t="s">
        <v>6</v>
      </c>
      <c r="F36" s="1" t="s">
        <v>32</v>
      </c>
      <c r="G36" s="1" t="s">
        <v>38</v>
      </c>
      <c r="H36" s="1">
        <v>2020</v>
      </c>
      <c r="I36" s="1" t="s">
        <v>39</v>
      </c>
      <c r="J36" s="6">
        <v>2060</v>
      </c>
    </row>
    <row r="37" spans="1:10">
      <c r="A37" s="5">
        <v>34</v>
      </c>
      <c r="B37" s="3">
        <v>43843</v>
      </c>
      <c r="C37" s="1" t="s">
        <v>14</v>
      </c>
      <c r="D37" s="1" t="s">
        <v>1</v>
      </c>
      <c r="E37" s="1" t="s">
        <v>9</v>
      </c>
      <c r="F37" s="1" t="s">
        <v>26</v>
      </c>
      <c r="G37" s="1" t="s">
        <v>38</v>
      </c>
      <c r="H37" s="1">
        <v>2020</v>
      </c>
      <c r="I37" s="1" t="s">
        <v>39</v>
      </c>
      <c r="J37" s="6">
        <v>1557</v>
      </c>
    </row>
    <row r="38" spans="1:10">
      <c r="A38" s="5">
        <v>35</v>
      </c>
      <c r="B38" s="3">
        <v>43843</v>
      </c>
      <c r="C38" s="1" t="s">
        <v>8</v>
      </c>
      <c r="D38" s="1" t="s">
        <v>4</v>
      </c>
      <c r="E38" s="1" t="s">
        <v>6</v>
      </c>
      <c r="F38" s="1" t="s">
        <v>29</v>
      </c>
      <c r="G38" s="1" t="s">
        <v>38</v>
      </c>
      <c r="H38" s="1">
        <v>2020</v>
      </c>
      <c r="I38" s="1" t="s">
        <v>39</v>
      </c>
      <c r="J38" s="6">
        <v>6509</v>
      </c>
    </row>
    <row r="39" spans="1:10">
      <c r="A39" s="5">
        <v>36</v>
      </c>
      <c r="B39" s="3">
        <v>43846</v>
      </c>
      <c r="C39" s="1" t="s">
        <v>8</v>
      </c>
      <c r="D39" s="1" t="s">
        <v>4</v>
      </c>
      <c r="E39" s="1" t="s">
        <v>0</v>
      </c>
      <c r="F39" s="1" t="s">
        <v>30</v>
      </c>
      <c r="G39" s="1" t="s">
        <v>38</v>
      </c>
      <c r="H39" s="1">
        <v>2020</v>
      </c>
      <c r="I39" s="1" t="s">
        <v>39</v>
      </c>
      <c r="J39" s="6">
        <v>5718</v>
      </c>
    </row>
    <row r="40" spans="1:10">
      <c r="A40" s="5">
        <v>37</v>
      </c>
      <c r="B40" s="3">
        <v>43846</v>
      </c>
      <c r="C40" s="1" t="s">
        <v>8</v>
      </c>
      <c r="D40" s="1" t="s">
        <v>4</v>
      </c>
      <c r="E40" s="1" t="s">
        <v>3</v>
      </c>
      <c r="F40" s="1" t="s">
        <v>30</v>
      </c>
      <c r="G40" s="1" t="s">
        <v>38</v>
      </c>
      <c r="H40" s="1">
        <v>2020</v>
      </c>
      <c r="I40" s="1" t="s">
        <v>39</v>
      </c>
      <c r="J40" s="6">
        <v>7655</v>
      </c>
    </row>
    <row r="41" spans="1:10">
      <c r="A41" s="5">
        <v>38</v>
      </c>
      <c r="B41" s="3">
        <v>43846</v>
      </c>
      <c r="C41" s="1" t="s">
        <v>2</v>
      </c>
      <c r="D41" s="1" t="s">
        <v>1</v>
      </c>
      <c r="E41" s="1" t="s">
        <v>12</v>
      </c>
      <c r="F41" s="1" t="s">
        <v>30</v>
      </c>
      <c r="G41" s="1" t="s">
        <v>38</v>
      </c>
      <c r="H41" s="1">
        <v>2020</v>
      </c>
      <c r="I41" s="1" t="s">
        <v>39</v>
      </c>
      <c r="J41" s="6">
        <v>9116</v>
      </c>
    </row>
    <row r="42" spans="1:10">
      <c r="A42" s="5">
        <v>39</v>
      </c>
      <c r="B42" s="3">
        <v>43846</v>
      </c>
      <c r="C42" s="1" t="s">
        <v>13</v>
      </c>
      <c r="D42" s="1" t="s">
        <v>4</v>
      </c>
      <c r="E42" s="1" t="s">
        <v>3</v>
      </c>
      <c r="F42" s="1" t="s">
        <v>26</v>
      </c>
      <c r="G42" s="1" t="s">
        <v>38</v>
      </c>
      <c r="H42" s="1">
        <v>2020</v>
      </c>
      <c r="I42" s="1" t="s">
        <v>39</v>
      </c>
      <c r="J42" s="6">
        <v>2795</v>
      </c>
    </row>
    <row r="43" spans="1:10">
      <c r="A43" s="5">
        <v>40</v>
      </c>
      <c r="B43" s="3">
        <v>43847</v>
      </c>
      <c r="C43" s="1" t="s">
        <v>13</v>
      </c>
      <c r="D43" s="1" t="s">
        <v>4</v>
      </c>
      <c r="E43" s="1" t="s">
        <v>3</v>
      </c>
      <c r="F43" s="1" t="s">
        <v>29</v>
      </c>
      <c r="G43" s="1" t="s">
        <v>38</v>
      </c>
      <c r="H43" s="1">
        <v>2020</v>
      </c>
      <c r="I43" s="1" t="s">
        <v>39</v>
      </c>
      <c r="J43" s="6">
        <v>5084</v>
      </c>
    </row>
    <row r="44" spans="1:10">
      <c r="A44" s="5">
        <v>41</v>
      </c>
      <c r="B44" s="3">
        <v>43853</v>
      </c>
      <c r="C44" s="1" t="s">
        <v>2</v>
      </c>
      <c r="D44" s="1" t="s">
        <v>1</v>
      </c>
      <c r="E44" s="1" t="s">
        <v>12</v>
      </c>
      <c r="F44" s="1" t="s">
        <v>32</v>
      </c>
      <c r="G44" s="1" t="s">
        <v>38</v>
      </c>
      <c r="H44" s="1">
        <v>2020</v>
      </c>
      <c r="I44" s="1" t="s">
        <v>39</v>
      </c>
      <c r="J44" s="6">
        <v>8941</v>
      </c>
    </row>
    <row r="45" spans="1:10">
      <c r="A45" s="5">
        <v>42</v>
      </c>
      <c r="B45" s="3">
        <v>43854</v>
      </c>
      <c r="C45" s="1" t="s">
        <v>14</v>
      </c>
      <c r="D45" s="1" t="s">
        <v>1</v>
      </c>
      <c r="E45" s="1" t="s">
        <v>6</v>
      </c>
      <c r="F45" s="1" t="s">
        <v>26</v>
      </c>
      <c r="G45" s="1" t="s">
        <v>38</v>
      </c>
      <c r="H45" s="1">
        <v>2020</v>
      </c>
      <c r="I45" s="1" t="s">
        <v>39</v>
      </c>
      <c r="J45" s="6">
        <v>5341</v>
      </c>
    </row>
    <row r="46" spans="1:10">
      <c r="A46" s="5">
        <v>43</v>
      </c>
      <c r="B46" s="3">
        <v>43856</v>
      </c>
      <c r="C46" s="1" t="s">
        <v>13</v>
      </c>
      <c r="D46" s="1" t="s">
        <v>4</v>
      </c>
      <c r="E46" s="1" t="s">
        <v>11</v>
      </c>
      <c r="F46" s="1" t="s">
        <v>30</v>
      </c>
      <c r="G46" s="1" t="s">
        <v>38</v>
      </c>
      <c r="H46" s="1">
        <v>2020</v>
      </c>
      <c r="I46" s="1" t="s">
        <v>39</v>
      </c>
      <c r="J46" s="6">
        <v>135</v>
      </c>
    </row>
    <row r="47" spans="1:10">
      <c r="A47" s="5">
        <v>44</v>
      </c>
      <c r="B47" s="3">
        <v>43856</v>
      </c>
      <c r="C47" s="1" t="s">
        <v>13</v>
      </c>
      <c r="D47" s="1" t="s">
        <v>4</v>
      </c>
      <c r="E47" s="1" t="s">
        <v>0</v>
      </c>
      <c r="F47" s="1" t="s">
        <v>26</v>
      </c>
      <c r="G47" s="1" t="s">
        <v>38</v>
      </c>
      <c r="H47" s="1">
        <v>2020</v>
      </c>
      <c r="I47" s="1" t="s">
        <v>39</v>
      </c>
      <c r="J47" s="6">
        <v>9400</v>
      </c>
    </row>
    <row r="48" spans="1:10">
      <c r="A48" s="5">
        <v>45</v>
      </c>
      <c r="B48" s="3">
        <v>43858</v>
      </c>
      <c r="C48" s="1" t="s">
        <v>7</v>
      </c>
      <c r="D48" s="1" t="s">
        <v>1</v>
      </c>
      <c r="E48" s="1" t="s">
        <v>9</v>
      </c>
      <c r="F48" s="1" t="s">
        <v>29</v>
      </c>
      <c r="G48" s="1" t="s">
        <v>38</v>
      </c>
      <c r="H48" s="1">
        <v>2020</v>
      </c>
      <c r="I48" s="1" t="s">
        <v>39</v>
      </c>
      <c r="J48" s="6">
        <v>6045</v>
      </c>
    </row>
    <row r="49" spans="1:10">
      <c r="A49" s="5">
        <v>46</v>
      </c>
      <c r="B49" s="3">
        <v>43862</v>
      </c>
      <c r="C49" s="1" t="s">
        <v>8</v>
      </c>
      <c r="D49" s="1" t="s">
        <v>4</v>
      </c>
      <c r="E49" s="1" t="s">
        <v>10</v>
      </c>
      <c r="F49" s="1" t="s">
        <v>32</v>
      </c>
      <c r="G49" s="1" t="s">
        <v>40</v>
      </c>
      <c r="H49" s="1">
        <v>2020</v>
      </c>
      <c r="I49" s="1" t="s">
        <v>39</v>
      </c>
      <c r="J49" s="6">
        <v>5820</v>
      </c>
    </row>
    <row r="50" spans="1:10">
      <c r="A50" s="5">
        <v>47</v>
      </c>
      <c r="B50" s="3">
        <v>43863</v>
      </c>
      <c r="C50" s="1" t="s">
        <v>5</v>
      </c>
      <c r="D50" s="1" t="s">
        <v>4</v>
      </c>
      <c r="E50" s="1" t="s">
        <v>9</v>
      </c>
      <c r="F50" s="1" t="s">
        <v>26</v>
      </c>
      <c r="G50" s="1" t="s">
        <v>40</v>
      </c>
      <c r="H50" s="1">
        <v>2020</v>
      </c>
      <c r="I50" s="1" t="s">
        <v>39</v>
      </c>
      <c r="J50" s="6">
        <v>8887</v>
      </c>
    </row>
    <row r="51" spans="1:10">
      <c r="A51" s="5">
        <v>48</v>
      </c>
      <c r="B51" s="3">
        <v>43864</v>
      </c>
      <c r="C51" s="1" t="s">
        <v>5</v>
      </c>
      <c r="D51" s="1" t="s">
        <v>4</v>
      </c>
      <c r="E51" s="1" t="s">
        <v>3</v>
      </c>
      <c r="F51" s="1" t="s">
        <v>29</v>
      </c>
      <c r="G51" s="1" t="s">
        <v>40</v>
      </c>
      <c r="H51" s="1">
        <v>2020</v>
      </c>
      <c r="I51" s="1" t="s">
        <v>39</v>
      </c>
      <c r="J51" s="6">
        <v>6982</v>
      </c>
    </row>
    <row r="52" spans="1:10">
      <c r="A52" s="5">
        <v>49</v>
      </c>
      <c r="B52" s="3">
        <v>43871</v>
      </c>
      <c r="C52" s="1" t="s">
        <v>13</v>
      </c>
      <c r="D52" s="1" t="s">
        <v>4</v>
      </c>
      <c r="E52" s="1" t="s">
        <v>0</v>
      </c>
      <c r="F52" s="1" t="s">
        <v>26</v>
      </c>
      <c r="G52" s="1" t="s">
        <v>40</v>
      </c>
      <c r="H52" s="1">
        <v>2020</v>
      </c>
      <c r="I52" s="1" t="s">
        <v>39</v>
      </c>
      <c r="J52" s="6">
        <v>4029</v>
      </c>
    </row>
    <row r="53" spans="1:10">
      <c r="A53" s="5">
        <v>50</v>
      </c>
      <c r="B53" s="3">
        <v>43871</v>
      </c>
      <c r="C53" s="1" t="s">
        <v>2</v>
      </c>
      <c r="D53" s="1" t="s">
        <v>1</v>
      </c>
      <c r="E53" s="1" t="s">
        <v>9</v>
      </c>
      <c r="F53" s="1" t="s">
        <v>32</v>
      </c>
      <c r="G53" s="1" t="s">
        <v>40</v>
      </c>
      <c r="H53" s="1">
        <v>2020</v>
      </c>
      <c r="I53" s="1" t="s">
        <v>39</v>
      </c>
      <c r="J53" s="6">
        <v>3665</v>
      </c>
    </row>
    <row r="54" spans="1:10">
      <c r="A54" s="5">
        <v>51</v>
      </c>
      <c r="B54" s="3">
        <v>43875</v>
      </c>
      <c r="C54" s="1" t="s">
        <v>13</v>
      </c>
      <c r="D54" s="1" t="s">
        <v>4</v>
      </c>
      <c r="E54" s="1" t="s">
        <v>6</v>
      </c>
      <c r="F54" s="1" t="s">
        <v>26</v>
      </c>
      <c r="G54" s="1" t="s">
        <v>40</v>
      </c>
      <c r="H54" s="1">
        <v>2020</v>
      </c>
      <c r="I54" s="1" t="s">
        <v>39</v>
      </c>
      <c r="J54" s="6">
        <v>4781</v>
      </c>
    </row>
    <row r="55" spans="1:10">
      <c r="A55" s="5">
        <v>52</v>
      </c>
      <c r="B55" s="3">
        <v>43876</v>
      </c>
      <c r="C55" s="1" t="s">
        <v>15</v>
      </c>
      <c r="D55" s="1" t="s">
        <v>4</v>
      </c>
      <c r="E55" s="1" t="s">
        <v>0</v>
      </c>
      <c r="F55" s="1" t="s">
        <v>30</v>
      </c>
      <c r="G55" s="1" t="s">
        <v>40</v>
      </c>
      <c r="H55" s="1">
        <v>2020</v>
      </c>
      <c r="I55" s="1" t="s">
        <v>39</v>
      </c>
      <c r="J55" s="6">
        <v>3663</v>
      </c>
    </row>
    <row r="56" spans="1:10">
      <c r="A56" s="5">
        <v>53</v>
      </c>
      <c r="B56" s="3">
        <v>43878</v>
      </c>
      <c r="C56" s="1" t="s">
        <v>8</v>
      </c>
      <c r="D56" s="1" t="s">
        <v>4</v>
      </c>
      <c r="E56" s="1" t="s">
        <v>6</v>
      </c>
      <c r="F56" s="1" t="s">
        <v>29</v>
      </c>
      <c r="G56" s="1" t="s">
        <v>40</v>
      </c>
      <c r="H56" s="1">
        <v>2020</v>
      </c>
      <c r="I56" s="1" t="s">
        <v>39</v>
      </c>
      <c r="J56" s="6">
        <v>6331</v>
      </c>
    </row>
    <row r="57" spans="1:10">
      <c r="A57" s="5">
        <v>54</v>
      </c>
      <c r="B57" s="3">
        <v>43880</v>
      </c>
      <c r="C57" s="1" t="s">
        <v>8</v>
      </c>
      <c r="D57" s="1" t="s">
        <v>4</v>
      </c>
      <c r="E57" s="1" t="s">
        <v>11</v>
      </c>
      <c r="F57" s="1" t="s">
        <v>26</v>
      </c>
      <c r="G57" s="1" t="s">
        <v>40</v>
      </c>
      <c r="H57" s="1">
        <v>2020</v>
      </c>
      <c r="I57" s="1" t="s">
        <v>39</v>
      </c>
      <c r="J57" s="6">
        <v>4364</v>
      </c>
    </row>
    <row r="58" spans="1:10">
      <c r="A58" s="5">
        <v>55</v>
      </c>
      <c r="B58" s="3">
        <v>43882</v>
      </c>
      <c r="C58" s="1" t="s">
        <v>2</v>
      </c>
      <c r="D58" s="1" t="s">
        <v>1</v>
      </c>
      <c r="E58" s="1" t="s">
        <v>12</v>
      </c>
      <c r="F58" s="1" t="s">
        <v>26</v>
      </c>
      <c r="G58" s="1" t="s">
        <v>40</v>
      </c>
      <c r="H58" s="1">
        <v>2020</v>
      </c>
      <c r="I58" s="1" t="s">
        <v>39</v>
      </c>
      <c r="J58" s="6">
        <v>607</v>
      </c>
    </row>
    <row r="59" spans="1:10">
      <c r="A59" s="5">
        <v>56</v>
      </c>
      <c r="B59" s="3">
        <v>43883</v>
      </c>
      <c r="C59" s="1" t="s">
        <v>13</v>
      </c>
      <c r="D59" s="1" t="s">
        <v>4</v>
      </c>
      <c r="E59" s="1" t="s">
        <v>10</v>
      </c>
      <c r="F59" s="1" t="s">
        <v>29</v>
      </c>
      <c r="G59" s="1" t="s">
        <v>40</v>
      </c>
      <c r="H59" s="1">
        <v>2020</v>
      </c>
      <c r="I59" s="1" t="s">
        <v>39</v>
      </c>
      <c r="J59" s="6">
        <v>1054</v>
      </c>
    </row>
    <row r="60" spans="1:10">
      <c r="A60" s="5">
        <v>57</v>
      </c>
      <c r="B60" s="3">
        <v>43886</v>
      </c>
      <c r="C60" s="1" t="s">
        <v>2</v>
      </c>
      <c r="D60" s="1" t="s">
        <v>1</v>
      </c>
      <c r="E60" s="1" t="s">
        <v>3</v>
      </c>
      <c r="F60" s="1" t="s">
        <v>26</v>
      </c>
      <c r="G60" s="1" t="s">
        <v>40</v>
      </c>
      <c r="H60" s="1">
        <v>2020</v>
      </c>
      <c r="I60" s="1" t="s">
        <v>39</v>
      </c>
      <c r="J60" s="6">
        <v>7659</v>
      </c>
    </row>
    <row r="61" spans="1:10">
      <c r="A61" s="5">
        <v>58</v>
      </c>
      <c r="B61" s="3">
        <v>43886</v>
      </c>
      <c r="C61" s="1" t="s">
        <v>14</v>
      </c>
      <c r="D61" s="1" t="s">
        <v>1</v>
      </c>
      <c r="E61" s="1" t="s">
        <v>9</v>
      </c>
      <c r="F61" s="1" t="s">
        <v>29</v>
      </c>
      <c r="G61" s="1" t="s">
        <v>40</v>
      </c>
      <c r="H61" s="1">
        <v>2020</v>
      </c>
      <c r="I61" s="1" t="s">
        <v>39</v>
      </c>
      <c r="J61" s="6">
        <v>277</v>
      </c>
    </row>
    <row r="62" spans="1:10">
      <c r="A62" s="5">
        <v>59</v>
      </c>
      <c r="B62" s="3">
        <v>43887</v>
      </c>
      <c r="C62" s="1" t="s">
        <v>13</v>
      </c>
      <c r="D62" s="1" t="s">
        <v>4</v>
      </c>
      <c r="E62" s="1" t="s">
        <v>3</v>
      </c>
      <c r="F62" s="1" t="s">
        <v>30</v>
      </c>
      <c r="G62" s="1" t="s">
        <v>40</v>
      </c>
      <c r="H62" s="1">
        <v>2020</v>
      </c>
      <c r="I62" s="1" t="s">
        <v>39</v>
      </c>
      <c r="J62" s="6">
        <v>235</v>
      </c>
    </row>
    <row r="63" spans="1:10">
      <c r="A63" s="5">
        <v>60</v>
      </c>
      <c r="B63" s="3">
        <v>43887</v>
      </c>
      <c r="C63" s="1" t="s">
        <v>5</v>
      </c>
      <c r="D63" s="1" t="s">
        <v>4</v>
      </c>
      <c r="E63" s="1" t="s">
        <v>0</v>
      </c>
      <c r="F63" s="1" t="s">
        <v>26</v>
      </c>
      <c r="G63" s="1" t="s">
        <v>40</v>
      </c>
      <c r="H63" s="1">
        <v>2020</v>
      </c>
      <c r="I63" s="1" t="s">
        <v>39</v>
      </c>
      <c r="J63" s="6">
        <v>1113</v>
      </c>
    </row>
    <row r="64" spans="1:10">
      <c r="A64" s="5">
        <v>61</v>
      </c>
      <c r="B64" s="3">
        <v>43888</v>
      </c>
      <c r="C64" s="1" t="s">
        <v>8</v>
      </c>
      <c r="D64" s="1" t="s">
        <v>4</v>
      </c>
      <c r="E64" s="1" t="s">
        <v>3</v>
      </c>
      <c r="F64" s="1" t="s">
        <v>29</v>
      </c>
      <c r="G64" s="1" t="s">
        <v>40</v>
      </c>
      <c r="H64" s="1">
        <v>2020</v>
      </c>
      <c r="I64" s="1" t="s">
        <v>39</v>
      </c>
      <c r="J64" s="6">
        <v>1128</v>
      </c>
    </row>
    <row r="65" spans="1:10">
      <c r="A65" s="5">
        <v>62</v>
      </c>
      <c r="B65" s="3">
        <v>43888</v>
      </c>
      <c r="C65" s="1" t="s">
        <v>14</v>
      </c>
      <c r="D65" s="1" t="s">
        <v>1</v>
      </c>
      <c r="E65" s="1" t="s">
        <v>11</v>
      </c>
      <c r="F65" s="1" t="s">
        <v>30</v>
      </c>
      <c r="G65" s="1" t="s">
        <v>40</v>
      </c>
      <c r="H65" s="1">
        <v>2020</v>
      </c>
      <c r="I65" s="1" t="s">
        <v>39</v>
      </c>
      <c r="J65" s="6">
        <v>9231</v>
      </c>
    </row>
    <row r="66" spans="1:10">
      <c r="A66" s="5">
        <v>63</v>
      </c>
      <c r="B66" s="3">
        <v>43891</v>
      </c>
      <c r="C66" s="1" t="s">
        <v>13</v>
      </c>
      <c r="D66" s="1" t="s">
        <v>4</v>
      </c>
      <c r="E66" s="1" t="s">
        <v>3</v>
      </c>
      <c r="F66" s="1" t="s">
        <v>32</v>
      </c>
      <c r="G66" s="1" t="s">
        <v>41</v>
      </c>
      <c r="H66" s="1">
        <v>2020</v>
      </c>
      <c r="I66" s="1" t="s">
        <v>39</v>
      </c>
      <c r="J66" s="6">
        <v>4387</v>
      </c>
    </row>
    <row r="67" spans="1:10">
      <c r="A67" s="5">
        <v>64</v>
      </c>
      <c r="B67" s="3">
        <v>43892</v>
      </c>
      <c r="C67" s="1" t="s">
        <v>8</v>
      </c>
      <c r="D67" s="1" t="s">
        <v>4</v>
      </c>
      <c r="E67" s="1" t="s">
        <v>11</v>
      </c>
      <c r="F67" s="1" t="s">
        <v>29</v>
      </c>
      <c r="G67" s="1" t="s">
        <v>41</v>
      </c>
      <c r="H67" s="1">
        <v>2020</v>
      </c>
      <c r="I67" s="1" t="s">
        <v>39</v>
      </c>
      <c r="J67" s="6">
        <v>2763</v>
      </c>
    </row>
    <row r="68" spans="1:10">
      <c r="A68" s="5">
        <v>65</v>
      </c>
      <c r="B68" s="3">
        <v>43894</v>
      </c>
      <c r="C68" s="1" t="s">
        <v>13</v>
      </c>
      <c r="D68" s="1" t="s">
        <v>4</v>
      </c>
      <c r="E68" s="1" t="s">
        <v>12</v>
      </c>
      <c r="F68" s="1" t="s">
        <v>26</v>
      </c>
      <c r="G68" s="1" t="s">
        <v>41</v>
      </c>
      <c r="H68" s="1">
        <v>2020</v>
      </c>
      <c r="I68" s="1" t="s">
        <v>39</v>
      </c>
      <c r="J68" s="6">
        <v>7898</v>
      </c>
    </row>
    <row r="69" spans="1:10">
      <c r="A69" s="5">
        <v>66</v>
      </c>
      <c r="B69" s="3">
        <v>43894</v>
      </c>
      <c r="C69" s="1" t="s">
        <v>13</v>
      </c>
      <c r="D69" s="1" t="s">
        <v>4</v>
      </c>
      <c r="E69" s="1" t="s">
        <v>6</v>
      </c>
      <c r="F69" s="1" t="s">
        <v>26</v>
      </c>
      <c r="G69" s="1" t="s">
        <v>41</v>
      </c>
      <c r="H69" s="1">
        <v>2020</v>
      </c>
      <c r="I69" s="1" t="s">
        <v>39</v>
      </c>
      <c r="J69" s="6">
        <v>2427</v>
      </c>
    </row>
    <row r="70" spans="1:10">
      <c r="A70" s="5">
        <v>67</v>
      </c>
      <c r="B70" s="3">
        <v>43894</v>
      </c>
      <c r="C70" s="1" t="s">
        <v>13</v>
      </c>
      <c r="D70" s="1" t="s">
        <v>4</v>
      </c>
      <c r="E70" s="1" t="s">
        <v>10</v>
      </c>
      <c r="F70" s="1" t="s">
        <v>26</v>
      </c>
      <c r="G70" s="1" t="s">
        <v>41</v>
      </c>
      <c r="H70" s="1">
        <v>2020</v>
      </c>
      <c r="I70" s="1" t="s">
        <v>39</v>
      </c>
      <c r="J70" s="6">
        <v>8663</v>
      </c>
    </row>
    <row r="71" spans="1:10">
      <c r="A71" s="5">
        <v>68</v>
      </c>
      <c r="B71" s="3">
        <v>43897</v>
      </c>
      <c r="C71" s="1" t="s">
        <v>2</v>
      </c>
      <c r="D71" s="1" t="s">
        <v>1</v>
      </c>
      <c r="E71" s="1" t="s">
        <v>9</v>
      </c>
      <c r="F71" s="1" t="s">
        <v>32</v>
      </c>
      <c r="G71" s="1" t="s">
        <v>41</v>
      </c>
      <c r="H71" s="1">
        <v>2020</v>
      </c>
      <c r="I71" s="1" t="s">
        <v>39</v>
      </c>
      <c r="J71" s="6">
        <v>2789</v>
      </c>
    </row>
    <row r="72" spans="1:10">
      <c r="A72" s="5">
        <v>69</v>
      </c>
      <c r="B72" s="3">
        <v>43901</v>
      </c>
      <c r="C72" s="1" t="s">
        <v>13</v>
      </c>
      <c r="D72" s="1" t="s">
        <v>4</v>
      </c>
      <c r="E72" s="1" t="s">
        <v>3</v>
      </c>
      <c r="F72" s="1" t="s">
        <v>26</v>
      </c>
      <c r="G72" s="1" t="s">
        <v>41</v>
      </c>
      <c r="H72" s="1">
        <v>2020</v>
      </c>
      <c r="I72" s="1" t="s">
        <v>39</v>
      </c>
      <c r="J72" s="6">
        <v>4054</v>
      </c>
    </row>
    <row r="73" spans="1:10">
      <c r="A73" s="5">
        <v>70</v>
      </c>
      <c r="B73" s="3">
        <v>43903</v>
      </c>
      <c r="C73" s="1" t="s">
        <v>15</v>
      </c>
      <c r="D73" s="1" t="s">
        <v>4</v>
      </c>
      <c r="E73" s="1" t="s">
        <v>3</v>
      </c>
      <c r="F73" s="1" t="s">
        <v>26</v>
      </c>
      <c r="G73" s="1" t="s">
        <v>41</v>
      </c>
      <c r="H73" s="1">
        <v>2020</v>
      </c>
      <c r="I73" s="1" t="s">
        <v>39</v>
      </c>
      <c r="J73" s="6">
        <v>2262</v>
      </c>
    </row>
    <row r="74" spans="1:10">
      <c r="A74" s="5">
        <v>71</v>
      </c>
      <c r="B74" s="3">
        <v>43905</v>
      </c>
      <c r="C74" s="1" t="s">
        <v>15</v>
      </c>
      <c r="D74" s="1" t="s">
        <v>4</v>
      </c>
      <c r="E74" s="1" t="s">
        <v>12</v>
      </c>
      <c r="F74" s="1" t="s">
        <v>26</v>
      </c>
      <c r="G74" s="1" t="s">
        <v>41</v>
      </c>
      <c r="H74" s="1">
        <v>2020</v>
      </c>
      <c r="I74" s="1" t="s">
        <v>39</v>
      </c>
      <c r="J74" s="6">
        <v>5600</v>
      </c>
    </row>
    <row r="75" spans="1:10">
      <c r="A75" s="5">
        <v>72</v>
      </c>
      <c r="B75" s="3">
        <v>43906</v>
      </c>
      <c r="C75" s="1" t="s">
        <v>13</v>
      </c>
      <c r="D75" s="1" t="s">
        <v>4</v>
      </c>
      <c r="E75" s="1" t="s">
        <v>3</v>
      </c>
      <c r="F75" s="1" t="s">
        <v>26</v>
      </c>
      <c r="G75" s="1" t="s">
        <v>41</v>
      </c>
      <c r="H75" s="1">
        <v>2020</v>
      </c>
      <c r="I75" s="1" t="s">
        <v>39</v>
      </c>
      <c r="J75" s="6">
        <v>5787</v>
      </c>
    </row>
    <row r="76" spans="1:10">
      <c r="A76" s="5">
        <v>73</v>
      </c>
      <c r="B76" s="3">
        <v>43907</v>
      </c>
      <c r="C76" s="1" t="s">
        <v>5</v>
      </c>
      <c r="D76" s="1" t="s">
        <v>4</v>
      </c>
      <c r="E76" s="1" t="s">
        <v>11</v>
      </c>
      <c r="F76" s="1" t="s">
        <v>26</v>
      </c>
      <c r="G76" s="1" t="s">
        <v>41</v>
      </c>
      <c r="H76" s="1">
        <v>2020</v>
      </c>
      <c r="I76" s="1" t="s">
        <v>39</v>
      </c>
      <c r="J76" s="6">
        <v>6295</v>
      </c>
    </row>
    <row r="77" spans="1:10">
      <c r="A77" s="5">
        <v>74</v>
      </c>
      <c r="B77" s="3">
        <v>43907</v>
      </c>
      <c r="C77" s="1" t="s">
        <v>13</v>
      </c>
      <c r="D77" s="1" t="s">
        <v>4</v>
      </c>
      <c r="E77" s="1" t="s">
        <v>9</v>
      </c>
      <c r="F77" s="1" t="s">
        <v>29</v>
      </c>
      <c r="G77" s="1" t="s">
        <v>41</v>
      </c>
      <c r="H77" s="1">
        <v>2020</v>
      </c>
      <c r="I77" s="1" t="s">
        <v>39</v>
      </c>
      <c r="J77" s="6">
        <v>474</v>
      </c>
    </row>
    <row r="78" spans="1:10">
      <c r="A78" s="5">
        <v>75</v>
      </c>
      <c r="B78" s="3">
        <v>43909</v>
      </c>
      <c r="C78" s="1" t="s">
        <v>8</v>
      </c>
      <c r="D78" s="1" t="s">
        <v>4</v>
      </c>
      <c r="E78" s="1" t="s">
        <v>6</v>
      </c>
      <c r="F78" s="1" t="s">
        <v>26</v>
      </c>
      <c r="G78" s="1" t="s">
        <v>41</v>
      </c>
      <c r="H78" s="1">
        <v>2020</v>
      </c>
      <c r="I78" s="1" t="s">
        <v>39</v>
      </c>
      <c r="J78" s="6">
        <v>4325</v>
      </c>
    </row>
    <row r="79" spans="1:10">
      <c r="A79" s="5">
        <v>76</v>
      </c>
      <c r="B79" s="3">
        <v>43909</v>
      </c>
      <c r="C79" s="1" t="s">
        <v>13</v>
      </c>
      <c r="D79" s="1" t="s">
        <v>4</v>
      </c>
      <c r="E79" s="1" t="s">
        <v>3</v>
      </c>
      <c r="F79" s="1" t="s">
        <v>32</v>
      </c>
      <c r="G79" s="1" t="s">
        <v>41</v>
      </c>
      <c r="H79" s="1">
        <v>2020</v>
      </c>
      <c r="I79" s="1" t="s">
        <v>39</v>
      </c>
      <c r="J79" s="6">
        <v>592</v>
      </c>
    </row>
    <row r="80" spans="1:10">
      <c r="A80" s="5">
        <v>77</v>
      </c>
      <c r="B80" s="3">
        <v>43911</v>
      </c>
      <c r="C80" s="1" t="s">
        <v>5</v>
      </c>
      <c r="D80" s="1" t="s">
        <v>4</v>
      </c>
      <c r="E80" s="1" t="s">
        <v>3</v>
      </c>
      <c r="F80" s="1" t="s">
        <v>30</v>
      </c>
      <c r="G80" s="1" t="s">
        <v>41</v>
      </c>
      <c r="H80" s="1">
        <v>2020</v>
      </c>
      <c r="I80" s="1" t="s">
        <v>39</v>
      </c>
      <c r="J80" s="6">
        <v>4330</v>
      </c>
    </row>
    <row r="81" spans="1:10">
      <c r="A81" s="5">
        <v>78</v>
      </c>
      <c r="B81" s="3">
        <v>43912</v>
      </c>
      <c r="C81" s="1" t="s">
        <v>13</v>
      </c>
      <c r="D81" s="1" t="s">
        <v>4</v>
      </c>
      <c r="E81" s="1" t="s">
        <v>12</v>
      </c>
      <c r="F81" s="1" t="s">
        <v>30</v>
      </c>
      <c r="G81" s="1" t="s">
        <v>41</v>
      </c>
      <c r="H81" s="1">
        <v>2020</v>
      </c>
      <c r="I81" s="1" t="s">
        <v>39</v>
      </c>
      <c r="J81" s="6">
        <v>9405</v>
      </c>
    </row>
    <row r="82" spans="1:10">
      <c r="A82" s="5">
        <v>79</v>
      </c>
      <c r="B82" s="3">
        <v>43914</v>
      </c>
      <c r="C82" s="1" t="s">
        <v>8</v>
      </c>
      <c r="D82" s="1" t="s">
        <v>4</v>
      </c>
      <c r="E82" s="1" t="s">
        <v>6</v>
      </c>
      <c r="F82" s="1" t="s">
        <v>30</v>
      </c>
      <c r="G82" s="1" t="s">
        <v>41</v>
      </c>
      <c r="H82" s="1">
        <v>2020</v>
      </c>
      <c r="I82" s="1" t="s">
        <v>39</v>
      </c>
      <c r="J82" s="6">
        <v>7671</v>
      </c>
    </row>
    <row r="83" spans="1:10">
      <c r="A83" s="5">
        <v>80</v>
      </c>
      <c r="B83" s="3">
        <v>43924</v>
      </c>
      <c r="C83" s="1" t="s">
        <v>2</v>
      </c>
      <c r="D83" s="1" t="s">
        <v>1</v>
      </c>
      <c r="E83" s="1" t="s">
        <v>12</v>
      </c>
      <c r="F83" s="1" t="s">
        <v>30</v>
      </c>
      <c r="G83" s="1" t="s">
        <v>42</v>
      </c>
      <c r="H83" s="1">
        <v>2020</v>
      </c>
      <c r="I83" s="1" t="s">
        <v>39</v>
      </c>
      <c r="J83" s="6">
        <v>5791</v>
      </c>
    </row>
    <row r="84" spans="1:10">
      <c r="A84" s="5">
        <v>81</v>
      </c>
      <c r="B84" s="3">
        <v>43924</v>
      </c>
      <c r="C84" s="1" t="s">
        <v>13</v>
      </c>
      <c r="D84" s="1" t="s">
        <v>4</v>
      </c>
      <c r="E84" s="1" t="s">
        <v>11</v>
      </c>
      <c r="F84" s="1" t="s">
        <v>30</v>
      </c>
      <c r="G84" s="1" t="s">
        <v>42</v>
      </c>
      <c r="H84" s="1">
        <v>2020</v>
      </c>
      <c r="I84" s="1" t="s">
        <v>39</v>
      </c>
      <c r="J84" s="6">
        <v>6007</v>
      </c>
    </row>
    <row r="85" spans="1:10">
      <c r="A85" s="5">
        <v>82</v>
      </c>
      <c r="B85" s="3">
        <v>43926</v>
      </c>
      <c r="C85" s="1" t="s">
        <v>13</v>
      </c>
      <c r="D85" s="1" t="s">
        <v>4</v>
      </c>
      <c r="E85" s="1" t="s">
        <v>9</v>
      </c>
      <c r="F85" s="1" t="s">
        <v>30</v>
      </c>
      <c r="G85" s="1" t="s">
        <v>42</v>
      </c>
      <c r="H85" s="1">
        <v>2020</v>
      </c>
      <c r="I85" s="1" t="s">
        <v>39</v>
      </c>
      <c r="J85" s="6">
        <v>5030</v>
      </c>
    </row>
    <row r="86" spans="1:10">
      <c r="A86" s="5">
        <v>83</v>
      </c>
      <c r="B86" s="3">
        <v>43926</v>
      </c>
      <c r="C86" s="1" t="s">
        <v>2</v>
      </c>
      <c r="D86" s="1" t="s">
        <v>1</v>
      </c>
      <c r="E86" s="1" t="s">
        <v>12</v>
      </c>
      <c r="F86" s="1" t="s">
        <v>30</v>
      </c>
      <c r="G86" s="1" t="s">
        <v>42</v>
      </c>
      <c r="H86" s="1">
        <v>2020</v>
      </c>
      <c r="I86" s="1" t="s">
        <v>39</v>
      </c>
      <c r="J86" s="6">
        <v>6763</v>
      </c>
    </row>
    <row r="87" spans="1:10">
      <c r="A87" s="5">
        <v>84</v>
      </c>
      <c r="B87" s="3">
        <v>43926</v>
      </c>
      <c r="C87" s="1" t="s">
        <v>13</v>
      </c>
      <c r="D87" s="1" t="s">
        <v>4</v>
      </c>
      <c r="E87" s="1" t="s">
        <v>0</v>
      </c>
      <c r="F87" s="1" t="s">
        <v>30</v>
      </c>
      <c r="G87" s="1" t="s">
        <v>42</v>
      </c>
      <c r="H87" s="1">
        <v>2020</v>
      </c>
      <c r="I87" s="1" t="s">
        <v>39</v>
      </c>
      <c r="J87" s="6">
        <v>4248</v>
      </c>
    </row>
    <row r="88" spans="1:10">
      <c r="A88" s="5">
        <v>85</v>
      </c>
      <c r="B88" s="3">
        <v>43927</v>
      </c>
      <c r="C88" s="1" t="s">
        <v>13</v>
      </c>
      <c r="D88" s="1" t="s">
        <v>4</v>
      </c>
      <c r="E88" s="1" t="s">
        <v>6</v>
      </c>
      <c r="F88" s="1" t="s">
        <v>30</v>
      </c>
      <c r="G88" s="1" t="s">
        <v>42</v>
      </c>
      <c r="H88" s="1">
        <v>2020</v>
      </c>
      <c r="I88" s="1" t="s">
        <v>39</v>
      </c>
      <c r="J88" s="6">
        <v>9543</v>
      </c>
    </row>
    <row r="89" spans="1:10">
      <c r="A89" s="5">
        <v>86</v>
      </c>
      <c r="B89" s="3">
        <v>43930</v>
      </c>
      <c r="C89" s="1" t="s">
        <v>14</v>
      </c>
      <c r="D89" s="1" t="s">
        <v>1</v>
      </c>
      <c r="E89" s="1" t="s">
        <v>12</v>
      </c>
      <c r="F89" s="1" t="s">
        <v>30</v>
      </c>
      <c r="G89" s="1" t="s">
        <v>42</v>
      </c>
      <c r="H89" s="1">
        <v>2020</v>
      </c>
      <c r="I89" s="1" t="s">
        <v>39</v>
      </c>
      <c r="J89" s="6">
        <v>2054</v>
      </c>
    </row>
    <row r="90" spans="1:10">
      <c r="A90" s="5">
        <v>87</v>
      </c>
      <c r="B90" s="3">
        <v>43931</v>
      </c>
      <c r="C90" s="1" t="s">
        <v>7</v>
      </c>
      <c r="D90" s="1" t="s">
        <v>1</v>
      </c>
      <c r="E90" s="1" t="s">
        <v>9</v>
      </c>
      <c r="F90" s="1" t="s">
        <v>30</v>
      </c>
      <c r="G90" s="1" t="s">
        <v>42</v>
      </c>
      <c r="H90" s="1">
        <v>2020</v>
      </c>
      <c r="I90" s="1" t="s">
        <v>39</v>
      </c>
      <c r="J90" s="6">
        <v>7094</v>
      </c>
    </row>
    <row r="91" spans="1:10">
      <c r="A91" s="5">
        <v>88</v>
      </c>
      <c r="B91" s="3">
        <v>43931</v>
      </c>
      <c r="C91" s="1" t="s">
        <v>2</v>
      </c>
      <c r="D91" s="1" t="s">
        <v>1</v>
      </c>
      <c r="E91" s="1" t="s">
        <v>3</v>
      </c>
      <c r="F91" s="1" t="s">
        <v>30</v>
      </c>
      <c r="G91" s="1" t="s">
        <v>42</v>
      </c>
      <c r="H91" s="1">
        <v>2020</v>
      </c>
      <c r="I91" s="1" t="s">
        <v>39</v>
      </c>
      <c r="J91" s="6">
        <v>6087</v>
      </c>
    </row>
    <row r="92" spans="1:10">
      <c r="A92" s="5">
        <v>89</v>
      </c>
      <c r="B92" s="3">
        <v>43932</v>
      </c>
      <c r="C92" s="1" t="s">
        <v>8</v>
      </c>
      <c r="D92" s="1" t="s">
        <v>4</v>
      </c>
      <c r="E92" s="1" t="s">
        <v>0</v>
      </c>
      <c r="F92" s="1" t="s">
        <v>30</v>
      </c>
      <c r="G92" s="1" t="s">
        <v>42</v>
      </c>
      <c r="H92" s="1">
        <v>2020</v>
      </c>
      <c r="I92" s="1" t="s">
        <v>39</v>
      </c>
      <c r="J92" s="6">
        <v>4264</v>
      </c>
    </row>
    <row r="93" spans="1:10">
      <c r="A93" s="5">
        <v>90</v>
      </c>
      <c r="B93" s="3">
        <v>43932</v>
      </c>
      <c r="C93" s="1" t="s">
        <v>15</v>
      </c>
      <c r="D93" s="1" t="s">
        <v>4</v>
      </c>
      <c r="E93" s="1" t="s">
        <v>3</v>
      </c>
      <c r="F93" s="1" t="s">
        <v>26</v>
      </c>
      <c r="G93" s="1" t="s">
        <v>42</v>
      </c>
      <c r="H93" s="1">
        <v>2020</v>
      </c>
      <c r="I93" s="1" t="s">
        <v>39</v>
      </c>
      <c r="J93" s="6">
        <v>9333</v>
      </c>
    </row>
    <row r="94" spans="1:10">
      <c r="A94" s="5">
        <v>91</v>
      </c>
      <c r="B94" s="3">
        <v>43933</v>
      </c>
      <c r="C94" s="1" t="s">
        <v>15</v>
      </c>
      <c r="D94" s="1" t="s">
        <v>4</v>
      </c>
      <c r="E94" s="1" t="s">
        <v>9</v>
      </c>
      <c r="F94" s="1" t="s">
        <v>30</v>
      </c>
      <c r="G94" s="1" t="s">
        <v>42</v>
      </c>
      <c r="H94" s="1">
        <v>2020</v>
      </c>
      <c r="I94" s="1" t="s">
        <v>39</v>
      </c>
      <c r="J94" s="6">
        <v>8775</v>
      </c>
    </row>
    <row r="95" spans="1:10">
      <c r="A95" s="5">
        <v>92</v>
      </c>
      <c r="B95" s="3">
        <v>43933</v>
      </c>
      <c r="C95" s="1" t="s">
        <v>14</v>
      </c>
      <c r="D95" s="1" t="s">
        <v>1</v>
      </c>
      <c r="E95" s="1" t="s">
        <v>12</v>
      </c>
      <c r="F95" s="1" t="s">
        <v>30</v>
      </c>
      <c r="G95" s="1" t="s">
        <v>42</v>
      </c>
      <c r="H95" s="1">
        <v>2020</v>
      </c>
      <c r="I95" s="1" t="s">
        <v>39</v>
      </c>
      <c r="J95" s="6">
        <v>2011</v>
      </c>
    </row>
    <row r="96" spans="1:10">
      <c r="A96" s="5">
        <v>93</v>
      </c>
      <c r="B96" s="3">
        <v>43935</v>
      </c>
      <c r="C96" s="1" t="s">
        <v>13</v>
      </c>
      <c r="D96" s="1" t="s">
        <v>4</v>
      </c>
      <c r="E96" s="1" t="s">
        <v>3</v>
      </c>
      <c r="F96" s="1" t="s">
        <v>30</v>
      </c>
      <c r="G96" s="1" t="s">
        <v>42</v>
      </c>
      <c r="H96" s="1">
        <v>2020</v>
      </c>
      <c r="I96" s="1" t="s">
        <v>39</v>
      </c>
      <c r="J96" s="6">
        <v>5632</v>
      </c>
    </row>
    <row r="97" spans="1:10">
      <c r="A97" s="5">
        <v>94</v>
      </c>
      <c r="B97" s="3">
        <v>43939</v>
      </c>
      <c r="C97" s="1" t="s">
        <v>13</v>
      </c>
      <c r="D97" s="1" t="s">
        <v>4</v>
      </c>
      <c r="E97" s="1" t="s">
        <v>10</v>
      </c>
      <c r="F97" s="1" t="s">
        <v>30</v>
      </c>
      <c r="G97" s="1" t="s">
        <v>42</v>
      </c>
      <c r="H97" s="1">
        <v>2020</v>
      </c>
      <c r="I97" s="1" t="s">
        <v>39</v>
      </c>
      <c r="J97" s="6">
        <v>4904</v>
      </c>
    </row>
    <row r="98" spans="1:10">
      <c r="A98" s="5">
        <v>95</v>
      </c>
      <c r="B98" s="3">
        <v>43939</v>
      </c>
      <c r="C98" s="1" t="s">
        <v>7</v>
      </c>
      <c r="D98" s="1" t="s">
        <v>1</v>
      </c>
      <c r="E98" s="1" t="s">
        <v>0</v>
      </c>
      <c r="F98" s="1" t="s">
        <v>26</v>
      </c>
      <c r="G98" s="1" t="s">
        <v>42</v>
      </c>
      <c r="H98" s="1">
        <v>2020</v>
      </c>
      <c r="I98" s="1" t="s">
        <v>39</v>
      </c>
      <c r="J98" s="6">
        <v>1002</v>
      </c>
    </row>
    <row r="99" spans="1:10">
      <c r="A99" s="5">
        <v>96</v>
      </c>
      <c r="B99" s="3">
        <v>43941</v>
      </c>
      <c r="C99" s="1" t="s">
        <v>5</v>
      </c>
      <c r="D99" s="1" t="s">
        <v>4</v>
      </c>
      <c r="E99" s="1" t="s">
        <v>12</v>
      </c>
      <c r="F99" s="1" t="s">
        <v>26</v>
      </c>
      <c r="G99" s="1" t="s">
        <v>42</v>
      </c>
      <c r="H99" s="1">
        <v>2020</v>
      </c>
      <c r="I99" s="1" t="s">
        <v>39</v>
      </c>
      <c r="J99" s="6">
        <v>8141</v>
      </c>
    </row>
    <row r="100" spans="1:10">
      <c r="A100" s="5">
        <v>97</v>
      </c>
      <c r="B100" s="3">
        <v>43945</v>
      </c>
      <c r="C100" s="1" t="s">
        <v>5</v>
      </c>
      <c r="D100" s="1" t="s">
        <v>4</v>
      </c>
      <c r="E100" s="1" t="s">
        <v>11</v>
      </c>
      <c r="F100" s="1" t="s">
        <v>26</v>
      </c>
      <c r="G100" s="1" t="s">
        <v>42</v>
      </c>
      <c r="H100" s="1">
        <v>2020</v>
      </c>
      <c r="I100" s="1" t="s">
        <v>39</v>
      </c>
      <c r="J100" s="6">
        <v>3644</v>
      </c>
    </row>
    <row r="101" spans="1:10">
      <c r="A101" s="5">
        <v>98</v>
      </c>
      <c r="B101" s="3">
        <v>43947</v>
      </c>
      <c r="C101" s="1" t="s">
        <v>5</v>
      </c>
      <c r="D101" s="1" t="s">
        <v>4</v>
      </c>
      <c r="E101" s="1" t="s">
        <v>0</v>
      </c>
      <c r="F101" s="1" t="s">
        <v>26</v>
      </c>
      <c r="G101" s="1" t="s">
        <v>42</v>
      </c>
      <c r="H101" s="1">
        <v>2020</v>
      </c>
      <c r="I101" s="1" t="s">
        <v>39</v>
      </c>
      <c r="J101" s="6">
        <v>1380</v>
      </c>
    </row>
    <row r="102" spans="1:10">
      <c r="A102" s="5">
        <v>99</v>
      </c>
      <c r="B102" s="3">
        <v>43947</v>
      </c>
      <c r="C102" s="1" t="s">
        <v>14</v>
      </c>
      <c r="D102" s="1" t="s">
        <v>1</v>
      </c>
      <c r="E102" s="1" t="s">
        <v>9</v>
      </c>
      <c r="F102" s="1" t="s">
        <v>26</v>
      </c>
      <c r="G102" s="1" t="s">
        <v>42</v>
      </c>
      <c r="H102" s="1">
        <v>2020</v>
      </c>
      <c r="I102" s="1" t="s">
        <v>39</v>
      </c>
      <c r="J102" s="6">
        <v>8354</v>
      </c>
    </row>
    <row r="103" spans="1:10">
      <c r="A103" s="5">
        <v>100</v>
      </c>
      <c r="B103" s="3">
        <v>43947</v>
      </c>
      <c r="C103" s="1" t="s">
        <v>13</v>
      </c>
      <c r="D103" s="1" t="s">
        <v>4</v>
      </c>
      <c r="E103" s="1" t="s">
        <v>3</v>
      </c>
      <c r="F103" s="1" t="s">
        <v>26</v>
      </c>
      <c r="G103" s="1" t="s">
        <v>42</v>
      </c>
      <c r="H103" s="1">
        <v>2020</v>
      </c>
      <c r="I103" s="1" t="s">
        <v>39</v>
      </c>
      <c r="J103" s="6">
        <v>5182</v>
      </c>
    </row>
    <row r="104" spans="1:10">
      <c r="A104" s="5">
        <v>101</v>
      </c>
      <c r="B104" s="3">
        <v>43948</v>
      </c>
      <c r="C104" s="1" t="s">
        <v>8</v>
      </c>
      <c r="D104" s="1" t="s">
        <v>4</v>
      </c>
      <c r="E104" s="1" t="s">
        <v>6</v>
      </c>
      <c r="F104" s="1" t="s">
        <v>26</v>
      </c>
      <c r="G104" s="1" t="s">
        <v>42</v>
      </c>
      <c r="H104" s="1">
        <v>2020</v>
      </c>
      <c r="I104" s="1" t="s">
        <v>39</v>
      </c>
      <c r="J104" s="6">
        <v>2193</v>
      </c>
    </row>
    <row r="105" spans="1:10">
      <c r="A105" s="5">
        <v>102</v>
      </c>
      <c r="B105" s="3">
        <v>43948</v>
      </c>
      <c r="C105" s="1" t="s">
        <v>15</v>
      </c>
      <c r="D105" s="1" t="s">
        <v>4</v>
      </c>
      <c r="E105" s="1" t="s">
        <v>3</v>
      </c>
      <c r="F105" s="1" t="s">
        <v>26</v>
      </c>
      <c r="G105" s="1" t="s">
        <v>42</v>
      </c>
      <c r="H105" s="1">
        <v>2020</v>
      </c>
      <c r="I105" s="1" t="s">
        <v>39</v>
      </c>
      <c r="J105" s="6">
        <v>3647</v>
      </c>
    </row>
    <row r="106" spans="1:10">
      <c r="A106" s="5">
        <v>103</v>
      </c>
      <c r="B106" s="3">
        <v>43949</v>
      </c>
      <c r="C106" s="1" t="s">
        <v>8</v>
      </c>
      <c r="D106" s="1" t="s">
        <v>4</v>
      </c>
      <c r="E106" s="1" t="s">
        <v>3</v>
      </c>
      <c r="F106" s="1" t="s">
        <v>26</v>
      </c>
      <c r="G106" s="1" t="s">
        <v>42</v>
      </c>
      <c r="H106" s="1">
        <v>2020</v>
      </c>
      <c r="I106" s="1" t="s">
        <v>39</v>
      </c>
      <c r="J106" s="6">
        <v>4104</v>
      </c>
    </row>
    <row r="107" spans="1:10">
      <c r="A107" s="5">
        <v>104</v>
      </c>
      <c r="B107" s="3">
        <v>43951</v>
      </c>
      <c r="C107" s="1" t="s">
        <v>2</v>
      </c>
      <c r="D107" s="1" t="s">
        <v>1</v>
      </c>
      <c r="E107" s="1" t="s">
        <v>3</v>
      </c>
      <c r="F107" s="1" t="s">
        <v>26</v>
      </c>
      <c r="G107" s="1" t="s">
        <v>42</v>
      </c>
      <c r="H107" s="1">
        <v>2020</v>
      </c>
      <c r="I107" s="1" t="s">
        <v>39</v>
      </c>
      <c r="J107" s="6">
        <v>7457</v>
      </c>
    </row>
    <row r="108" spans="1:10">
      <c r="A108" s="5">
        <v>105</v>
      </c>
      <c r="B108" s="3">
        <v>43952</v>
      </c>
      <c r="C108" s="1" t="s">
        <v>15</v>
      </c>
      <c r="D108" s="1" t="s">
        <v>4</v>
      </c>
      <c r="E108" s="1" t="s">
        <v>11</v>
      </c>
      <c r="F108" s="1" t="s">
        <v>26</v>
      </c>
      <c r="G108" s="1" t="s">
        <v>43</v>
      </c>
      <c r="H108" s="1">
        <v>2020</v>
      </c>
      <c r="I108" s="1" t="s">
        <v>44</v>
      </c>
      <c r="J108" s="6">
        <v>3767</v>
      </c>
    </row>
    <row r="109" spans="1:10">
      <c r="A109" s="5">
        <v>106</v>
      </c>
      <c r="B109" s="3">
        <v>43953</v>
      </c>
      <c r="C109" s="1" t="s">
        <v>14</v>
      </c>
      <c r="D109" s="1" t="s">
        <v>1</v>
      </c>
      <c r="E109" s="1" t="s">
        <v>9</v>
      </c>
      <c r="F109" s="1" t="s">
        <v>26</v>
      </c>
      <c r="G109" s="1" t="s">
        <v>43</v>
      </c>
      <c r="H109" s="1">
        <v>2020</v>
      </c>
      <c r="I109" s="1" t="s">
        <v>44</v>
      </c>
      <c r="J109" s="6">
        <v>4685</v>
      </c>
    </row>
    <row r="110" spans="1:10">
      <c r="A110" s="5">
        <v>107</v>
      </c>
      <c r="B110" s="3">
        <v>43955</v>
      </c>
      <c r="C110" s="1" t="s">
        <v>13</v>
      </c>
      <c r="D110" s="1" t="s">
        <v>4</v>
      </c>
      <c r="E110" s="1" t="s">
        <v>3</v>
      </c>
      <c r="F110" s="1" t="s">
        <v>26</v>
      </c>
      <c r="G110" s="1" t="s">
        <v>43</v>
      </c>
      <c r="H110" s="1">
        <v>2020</v>
      </c>
      <c r="I110" s="1" t="s">
        <v>44</v>
      </c>
      <c r="J110" s="6">
        <v>3917</v>
      </c>
    </row>
    <row r="111" spans="1:10">
      <c r="A111" s="5">
        <v>108</v>
      </c>
      <c r="B111" s="3">
        <v>43956</v>
      </c>
      <c r="C111" s="1" t="s">
        <v>8</v>
      </c>
      <c r="D111" s="1" t="s">
        <v>4</v>
      </c>
      <c r="E111" s="1" t="s">
        <v>11</v>
      </c>
      <c r="F111" s="1" t="s">
        <v>26</v>
      </c>
      <c r="G111" s="1" t="s">
        <v>43</v>
      </c>
      <c r="H111" s="1">
        <v>2020</v>
      </c>
      <c r="I111" s="1" t="s">
        <v>44</v>
      </c>
      <c r="J111" s="6">
        <v>521</v>
      </c>
    </row>
    <row r="112" spans="1:10">
      <c r="A112" s="5">
        <v>109</v>
      </c>
      <c r="B112" s="3">
        <v>43956</v>
      </c>
      <c r="C112" s="1" t="s">
        <v>8</v>
      </c>
      <c r="D112" s="1" t="s">
        <v>4</v>
      </c>
      <c r="E112" s="1" t="s">
        <v>6</v>
      </c>
      <c r="F112" s="1" t="s">
        <v>32</v>
      </c>
      <c r="G112" s="1" t="s">
        <v>43</v>
      </c>
      <c r="H112" s="1">
        <v>2020</v>
      </c>
      <c r="I112" s="1" t="s">
        <v>44</v>
      </c>
      <c r="J112" s="6">
        <v>5605</v>
      </c>
    </row>
    <row r="113" spans="1:10">
      <c r="A113" s="5">
        <v>110</v>
      </c>
      <c r="B113" s="3">
        <v>43956</v>
      </c>
      <c r="C113" s="1" t="s">
        <v>14</v>
      </c>
      <c r="D113" s="1" t="s">
        <v>1</v>
      </c>
      <c r="E113" s="1" t="s">
        <v>9</v>
      </c>
      <c r="F113" s="1" t="s">
        <v>26</v>
      </c>
      <c r="G113" s="1" t="s">
        <v>43</v>
      </c>
      <c r="H113" s="1">
        <v>2020</v>
      </c>
      <c r="I113" s="1" t="s">
        <v>44</v>
      </c>
      <c r="J113" s="6">
        <v>9630</v>
      </c>
    </row>
    <row r="114" spans="1:10">
      <c r="A114" s="5">
        <v>111</v>
      </c>
      <c r="B114" s="3">
        <v>43957</v>
      </c>
      <c r="C114" s="1" t="s">
        <v>13</v>
      </c>
      <c r="D114" s="1" t="s">
        <v>4</v>
      </c>
      <c r="E114" s="1" t="s">
        <v>11</v>
      </c>
      <c r="F114" s="1" t="s">
        <v>26</v>
      </c>
      <c r="G114" s="1" t="s">
        <v>43</v>
      </c>
      <c r="H114" s="1">
        <v>2020</v>
      </c>
      <c r="I114" s="1" t="s">
        <v>44</v>
      </c>
      <c r="J114" s="6">
        <v>6941</v>
      </c>
    </row>
    <row r="115" spans="1:10">
      <c r="A115" s="5">
        <v>112</v>
      </c>
      <c r="B115" s="3">
        <v>43959</v>
      </c>
      <c r="C115" s="1" t="s">
        <v>14</v>
      </c>
      <c r="D115" s="1" t="s">
        <v>1</v>
      </c>
      <c r="E115" s="1" t="s">
        <v>12</v>
      </c>
      <c r="F115" s="1" t="s">
        <v>26</v>
      </c>
      <c r="G115" s="1" t="s">
        <v>43</v>
      </c>
      <c r="H115" s="1">
        <v>2020</v>
      </c>
      <c r="I115" s="1" t="s">
        <v>44</v>
      </c>
      <c r="J115" s="6">
        <v>7231</v>
      </c>
    </row>
    <row r="116" spans="1:10">
      <c r="A116" s="5">
        <v>113</v>
      </c>
      <c r="B116" s="3">
        <v>43959</v>
      </c>
      <c r="C116" s="1" t="s">
        <v>14</v>
      </c>
      <c r="D116" s="1" t="s">
        <v>1</v>
      </c>
      <c r="E116" s="1" t="s">
        <v>0</v>
      </c>
      <c r="F116" s="1" t="s">
        <v>26</v>
      </c>
      <c r="G116" s="1" t="s">
        <v>43</v>
      </c>
      <c r="H116" s="1">
        <v>2020</v>
      </c>
      <c r="I116" s="1" t="s">
        <v>44</v>
      </c>
      <c r="J116" s="6">
        <v>8891</v>
      </c>
    </row>
    <row r="117" spans="1:10">
      <c r="A117" s="5">
        <v>114</v>
      </c>
      <c r="B117" s="3">
        <v>43959</v>
      </c>
      <c r="C117" s="1" t="s">
        <v>13</v>
      </c>
      <c r="D117" s="1" t="s">
        <v>4</v>
      </c>
      <c r="E117" s="1" t="s">
        <v>6</v>
      </c>
      <c r="F117" s="1" t="s">
        <v>26</v>
      </c>
      <c r="G117" s="1" t="s">
        <v>43</v>
      </c>
      <c r="H117" s="1">
        <v>2020</v>
      </c>
      <c r="I117" s="1" t="s">
        <v>44</v>
      </c>
      <c r="J117" s="6">
        <v>107</v>
      </c>
    </row>
    <row r="118" spans="1:10">
      <c r="A118" s="5">
        <v>115</v>
      </c>
      <c r="B118" s="3">
        <v>43961</v>
      </c>
      <c r="C118" s="1" t="s">
        <v>13</v>
      </c>
      <c r="D118" s="1" t="s">
        <v>4</v>
      </c>
      <c r="E118" s="1" t="s">
        <v>3</v>
      </c>
      <c r="F118" s="1" t="s">
        <v>26</v>
      </c>
      <c r="G118" s="1" t="s">
        <v>43</v>
      </c>
      <c r="H118" s="1">
        <v>2020</v>
      </c>
      <c r="I118" s="1" t="s">
        <v>44</v>
      </c>
      <c r="J118" s="6">
        <v>4243</v>
      </c>
    </row>
    <row r="119" spans="1:10">
      <c r="A119" s="5">
        <v>116</v>
      </c>
      <c r="B119" s="3">
        <v>43964</v>
      </c>
      <c r="C119" s="1" t="s">
        <v>5</v>
      </c>
      <c r="D119" s="1" t="s">
        <v>4</v>
      </c>
      <c r="E119" s="1" t="s">
        <v>3</v>
      </c>
      <c r="F119" s="1" t="s">
        <v>26</v>
      </c>
      <c r="G119" s="1" t="s">
        <v>43</v>
      </c>
      <c r="H119" s="1">
        <v>2020</v>
      </c>
      <c r="I119" s="1" t="s">
        <v>44</v>
      </c>
      <c r="J119" s="6">
        <v>4514</v>
      </c>
    </row>
    <row r="120" spans="1:10">
      <c r="A120" s="5">
        <v>117</v>
      </c>
      <c r="B120" s="3">
        <v>43965</v>
      </c>
      <c r="C120" s="1" t="s">
        <v>15</v>
      </c>
      <c r="D120" s="1" t="s">
        <v>4</v>
      </c>
      <c r="E120" s="1" t="s">
        <v>3</v>
      </c>
      <c r="F120" s="1" t="s">
        <v>26</v>
      </c>
      <c r="G120" s="1" t="s">
        <v>43</v>
      </c>
      <c r="H120" s="1">
        <v>2020</v>
      </c>
      <c r="I120" s="1" t="s">
        <v>44</v>
      </c>
      <c r="J120" s="6">
        <v>5480</v>
      </c>
    </row>
    <row r="121" spans="1:10">
      <c r="A121" s="5">
        <v>118</v>
      </c>
      <c r="B121" s="3">
        <v>43967</v>
      </c>
      <c r="C121" s="1" t="s">
        <v>13</v>
      </c>
      <c r="D121" s="1" t="s">
        <v>4</v>
      </c>
      <c r="E121" s="1" t="s">
        <v>6</v>
      </c>
      <c r="F121" s="1" t="s">
        <v>26</v>
      </c>
      <c r="G121" s="1" t="s">
        <v>43</v>
      </c>
      <c r="H121" s="1">
        <v>2020</v>
      </c>
      <c r="I121" s="1" t="s">
        <v>44</v>
      </c>
      <c r="J121" s="6">
        <v>5002</v>
      </c>
    </row>
    <row r="122" spans="1:10">
      <c r="A122" s="5">
        <v>119</v>
      </c>
      <c r="B122" s="3">
        <v>43971</v>
      </c>
      <c r="C122" s="1" t="s">
        <v>13</v>
      </c>
      <c r="D122" s="1" t="s">
        <v>4</v>
      </c>
      <c r="E122" s="1" t="s">
        <v>11</v>
      </c>
      <c r="F122" s="1" t="s">
        <v>26</v>
      </c>
      <c r="G122" s="1" t="s">
        <v>43</v>
      </c>
      <c r="H122" s="1">
        <v>2020</v>
      </c>
      <c r="I122" s="1" t="s">
        <v>44</v>
      </c>
      <c r="J122" s="6">
        <v>8530</v>
      </c>
    </row>
    <row r="123" spans="1:10">
      <c r="A123" s="5">
        <v>120</v>
      </c>
      <c r="B123" s="3">
        <v>43972</v>
      </c>
      <c r="C123" s="1" t="s">
        <v>5</v>
      </c>
      <c r="D123" s="1" t="s">
        <v>4</v>
      </c>
      <c r="E123" s="1" t="s">
        <v>10</v>
      </c>
      <c r="F123" s="1" t="s">
        <v>26</v>
      </c>
      <c r="G123" s="1" t="s">
        <v>43</v>
      </c>
      <c r="H123" s="1">
        <v>2020</v>
      </c>
      <c r="I123" s="1" t="s">
        <v>44</v>
      </c>
      <c r="J123" s="6">
        <v>4819</v>
      </c>
    </row>
    <row r="124" spans="1:10">
      <c r="A124" s="5">
        <v>121</v>
      </c>
      <c r="B124" s="3">
        <v>43973</v>
      </c>
      <c r="C124" s="1" t="s">
        <v>14</v>
      </c>
      <c r="D124" s="1" t="s">
        <v>1</v>
      </c>
      <c r="E124" s="1" t="s">
        <v>12</v>
      </c>
      <c r="F124" s="1" t="s">
        <v>32</v>
      </c>
      <c r="G124" s="1" t="s">
        <v>43</v>
      </c>
      <c r="H124" s="1">
        <v>2020</v>
      </c>
      <c r="I124" s="1" t="s">
        <v>44</v>
      </c>
      <c r="J124" s="6">
        <v>6343</v>
      </c>
    </row>
    <row r="125" spans="1:10">
      <c r="A125" s="5">
        <v>122</v>
      </c>
      <c r="B125" s="3">
        <v>43974</v>
      </c>
      <c r="C125" s="1" t="s">
        <v>5</v>
      </c>
      <c r="D125" s="1" t="s">
        <v>4</v>
      </c>
      <c r="E125" s="1" t="s">
        <v>12</v>
      </c>
      <c r="F125" s="1" t="s">
        <v>26</v>
      </c>
      <c r="G125" s="1" t="s">
        <v>43</v>
      </c>
      <c r="H125" s="1">
        <v>2020</v>
      </c>
      <c r="I125" s="1" t="s">
        <v>44</v>
      </c>
      <c r="J125" s="6">
        <v>2318</v>
      </c>
    </row>
    <row r="126" spans="1:10">
      <c r="A126" s="5">
        <v>123</v>
      </c>
      <c r="B126" s="3">
        <v>43975</v>
      </c>
      <c r="C126" s="1" t="s">
        <v>5</v>
      </c>
      <c r="D126" s="1" t="s">
        <v>4</v>
      </c>
      <c r="E126" s="1" t="s">
        <v>12</v>
      </c>
      <c r="F126" s="1" t="s">
        <v>26</v>
      </c>
      <c r="G126" s="1" t="s">
        <v>43</v>
      </c>
      <c r="H126" s="1">
        <v>2020</v>
      </c>
      <c r="I126" s="1" t="s">
        <v>44</v>
      </c>
      <c r="J126" s="6">
        <v>220</v>
      </c>
    </row>
    <row r="127" spans="1:10">
      <c r="A127" s="5">
        <v>124</v>
      </c>
      <c r="B127" s="3">
        <v>43975</v>
      </c>
      <c r="C127" s="1" t="s">
        <v>5</v>
      </c>
      <c r="D127" s="1" t="s">
        <v>4</v>
      </c>
      <c r="E127" s="1" t="s">
        <v>10</v>
      </c>
      <c r="F127" s="1" t="s">
        <v>32</v>
      </c>
      <c r="G127" s="1" t="s">
        <v>43</v>
      </c>
      <c r="H127" s="1">
        <v>2020</v>
      </c>
      <c r="I127" s="1" t="s">
        <v>44</v>
      </c>
      <c r="J127" s="6">
        <v>6341</v>
      </c>
    </row>
    <row r="128" spans="1:10">
      <c r="A128" s="5">
        <v>125</v>
      </c>
      <c r="B128" s="3">
        <v>43977</v>
      </c>
      <c r="C128" s="1" t="s">
        <v>8</v>
      </c>
      <c r="D128" s="1" t="s">
        <v>4</v>
      </c>
      <c r="E128" s="1" t="s">
        <v>9</v>
      </c>
      <c r="F128" s="1" t="s">
        <v>32</v>
      </c>
      <c r="G128" s="1" t="s">
        <v>43</v>
      </c>
      <c r="H128" s="1">
        <v>2020</v>
      </c>
      <c r="I128" s="1" t="s">
        <v>44</v>
      </c>
      <c r="J128" s="6">
        <v>330</v>
      </c>
    </row>
    <row r="129" spans="1:10">
      <c r="A129" s="5">
        <v>126</v>
      </c>
      <c r="B129" s="3">
        <v>43978</v>
      </c>
      <c r="C129" s="1" t="s">
        <v>14</v>
      </c>
      <c r="D129" s="1" t="s">
        <v>1</v>
      </c>
      <c r="E129" s="1" t="s">
        <v>12</v>
      </c>
      <c r="F129" s="1" t="s">
        <v>32</v>
      </c>
      <c r="G129" s="1" t="s">
        <v>43</v>
      </c>
      <c r="H129" s="1">
        <v>2020</v>
      </c>
      <c r="I129" s="1" t="s">
        <v>44</v>
      </c>
      <c r="J129" s="6">
        <v>3027</v>
      </c>
    </row>
    <row r="130" spans="1:10">
      <c r="A130" s="5">
        <v>127</v>
      </c>
      <c r="B130" s="3">
        <v>43979</v>
      </c>
      <c r="C130" s="1" t="s">
        <v>5</v>
      </c>
      <c r="D130" s="1" t="s">
        <v>4</v>
      </c>
      <c r="E130" s="1" t="s">
        <v>10</v>
      </c>
      <c r="F130" s="1" t="s">
        <v>30</v>
      </c>
      <c r="G130" s="1" t="s">
        <v>43</v>
      </c>
      <c r="H130" s="1">
        <v>2020</v>
      </c>
      <c r="I130" s="1" t="s">
        <v>44</v>
      </c>
      <c r="J130" s="6">
        <v>850</v>
      </c>
    </row>
    <row r="131" spans="1:10">
      <c r="A131" s="5">
        <v>128</v>
      </c>
      <c r="B131" s="3">
        <v>43980</v>
      </c>
      <c r="C131" s="1" t="s">
        <v>13</v>
      </c>
      <c r="D131" s="1" t="s">
        <v>4</v>
      </c>
      <c r="E131" s="1" t="s">
        <v>12</v>
      </c>
      <c r="F131" s="1" t="s">
        <v>32</v>
      </c>
      <c r="G131" s="1" t="s">
        <v>43</v>
      </c>
      <c r="H131" s="1">
        <v>2020</v>
      </c>
      <c r="I131" s="1" t="s">
        <v>44</v>
      </c>
      <c r="J131" s="6">
        <v>8986</v>
      </c>
    </row>
    <row r="132" spans="1:10">
      <c r="A132" s="5">
        <v>129</v>
      </c>
      <c r="B132" s="3">
        <v>43983</v>
      </c>
      <c r="C132" s="1" t="s">
        <v>14</v>
      </c>
      <c r="D132" s="1" t="s">
        <v>1</v>
      </c>
      <c r="E132" s="1" t="s">
        <v>3</v>
      </c>
      <c r="F132" s="1" t="s">
        <v>32</v>
      </c>
      <c r="G132" s="1" t="s">
        <v>45</v>
      </c>
      <c r="H132" s="1">
        <v>2020</v>
      </c>
      <c r="I132" s="1" t="s">
        <v>44</v>
      </c>
      <c r="J132" s="6">
        <v>3800</v>
      </c>
    </row>
    <row r="133" spans="1:10">
      <c r="A133" s="5">
        <v>130</v>
      </c>
      <c r="B133" s="3">
        <v>43988</v>
      </c>
      <c r="C133" s="1" t="s">
        <v>2</v>
      </c>
      <c r="D133" s="1" t="s">
        <v>1</v>
      </c>
      <c r="E133" s="1" t="s">
        <v>12</v>
      </c>
      <c r="F133" s="1" t="s">
        <v>32</v>
      </c>
      <c r="G133" s="1" t="s">
        <v>45</v>
      </c>
      <c r="H133" s="1">
        <v>2020</v>
      </c>
      <c r="I133" s="1" t="s">
        <v>44</v>
      </c>
      <c r="J133" s="6">
        <v>5751</v>
      </c>
    </row>
    <row r="134" spans="1:10">
      <c r="A134" s="5">
        <v>131</v>
      </c>
      <c r="B134" s="3">
        <v>43988</v>
      </c>
      <c r="C134" s="1" t="s">
        <v>8</v>
      </c>
      <c r="D134" s="1" t="s">
        <v>4</v>
      </c>
      <c r="E134" s="1" t="s">
        <v>12</v>
      </c>
      <c r="F134" s="1" t="s">
        <v>32</v>
      </c>
      <c r="G134" s="1" t="s">
        <v>45</v>
      </c>
      <c r="H134" s="1">
        <v>2020</v>
      </c>
      <c r="I134" s="1" t="s">
        <v>44</v>
      </c>
      <c r="J134" s="6">
        <v>1704</v>
      </c>
    </row>
    <row r="135" spans="1:10">
      <c r="A135" s="5">
        <v>132</v>
      </c>
      <c r="B135" s="3">
        <v>43989</v>
      </c>
      <c r="C135" s="1" t="s">
        <v>13</v>
      </c>
      <c r="D135" s="1" t="s">
        <v>4</v>
      </c>
      <c r="E135" s="1" t="s">
        <v>0</v>
      </c>
      <c r="F135" s="1" t="s">
        <v>30</v>
      </c>
      <c r="G135" s="1" t="s">
        <v>45</v>
      </c>
      <c r="H135" s="1">
        <v>2020</v>
      </c>
      <c r="I135" s="1" t="s">
        <v>44</v>
      </c>
      <c r="J135" s="6">
        <v>7966</v>
      </c>
    </row>
    <row r="136" spans="1:10">
      <c r="A136" s="5">
        <v>133</v>
      </c>
      <c r="B136" s="3">
        <v>43991</v>
      </c>
      <c r="C136" s="1" t="s">
        <v>13</v>
      </c>
      <c r="D136" s="1" t="s">
        <v>4</v>
      </c>
      <c r="E136" s="1" t="s">
        <v>3</v>
      </c>
      <c r="F136" s="1" t="s">
        <v>32</v>
      </c>
      <c r="G136" s="1" t="s">
        <v>45</v>
      </c>
      <c r="H136" s="1">
        <v>2020</v>
      </c>
      <c r="I136" s="1" t="s">
        <v>44</v>
      </c>
      <c r="J136" s="6">
        <v>852</v>
      </c>
    </row>
    <row r="137" spans="1:10">
      <c r="A137" s="5">
        <v>134</v>
      </c>
      <c r="B137" s="3">
        <v>43992</v>
      </c>
      <c r="C137" s="1" t="s">
        <v>7</v>
      </c>
      <c r="D137" s="1" t="s">
        <v>1</v>
      </c>
      <c r="E137" s="1" t="s">
        <v>0</v>
      </c>
      <c r="F137" s="1" t="s">
        <v>32</v>
      </c>
      <c r="G137" s="1" t="s">
        <v>45</v>
      </c>
      <c r="H137" s="1">
        <v>2020</v>
      </c>
      <c r="I137" s="1" t="s">
        <v>44</v>
      </c>
      <c r="J137" s="6">
        <v>8416</v>
      </c>
    </row>
    <row r="138" spans="1:10">
      <c r="A138" s="5">
        <v>135</v>
      </c>
      <c r="B138" s="3">
        <v>43992</v>
      </c>
      <c r="C138" s="1" t="s">
        <v>13</v>
      </c>
      <c r="D138" s="1" t="s">
        <v>4</v>
      </c>
      <c r="E138" s="1" t="s">
        <v>6</v>
      </c>
      <c r="F138" s="1" t="s">
        <v>32</v>
      </c>
      <c r="G138" s="1" t="s">
        <v>45</v>
      </c>
      <c r="H138" s="1">
        <v>2020</v>
      </c>
      <c r="I138" s="1" t="s">
        <v>44</v>
      </c>
      <c r="J138" s="6">
        <v>7144</v>
      </c>
    </row>
    <row r="139" spans="1:10">
      <c r="A139" s="5">
        <v>136</v>
      </c>
      <c r="B139" s="3">
        <v>43995</v>
      </c>
      <c r="C139" s="1" t="s">
        <v>14</v>
      </c>
      <c r="D139" s="1" t="s">
        <v>1</v>
      </c>
      <c r="E139" s="1" t="s">
        <v>3</v>
      </c>
      <c r="F139" s="1" t="s">
        <v>32</v>
      </c>
      <c r="G139" s="1" t="s">
        <v>45</v>
      </c>
      <c r="H139" s="1">
        <v>2020</v>
      </c>
      <c r="I139" s="1" t="s">
        <v>44</v>
      </c>
      <c r="J139" s="6">
        <v>7854</v>
      </c>
    </row>
    <row r="140" spans="1:10">
      <c r="A140" s="5">
        <v>137</v>
      </c>
      <c r="B140" s="3">
        <v>43998</v>
      </c>
      <c r="C140" s="1" t="s">
        <v>5</v>
      </c>
      <c r="D140" s="1" t="s">
        <v>4</v>
      </c>
      <c r="E140" s="1" t="s">
        <v>3</v>
      </c>
      <c r="F140" s="1" t="s">
        <v>32</v>
      </c>
      <c r="G140" s="1" t="s">
        <v>45</v>
      </c>
      <c r="H140" s="1">
        <v>2020</v>
      </c>
      <c r="I140" s="1" t="s">
        <v>44</v>
      </c>
      <c r="J140" s="6">
        <v>859</v>
      </c>
    </row>
    <row r="141" spans="1:10">
      <c r="A141" s="5">
        <v>138</v>
      </c>
      <c r="B141" s="3">
        <v>44001</v>
      </c>
      <c r="C141" s="1" t="s">
        <v>14</v>
      </c>
      <c r="D141" s="1" t="s">
        <v>1</v>
      </c>
      <c r="E141" s="1" t="s">
        <v>3</v>
      </c>
      <c r="F141" s="1" t="s">
        <v>26</v>
      </c>
      <c r="G141" s="1" t="s">
        <v>45</v>
      </c>
      <c r="H141" s="1">
        <v>2020</v>
      </c>
      <c r="I141" s="1" t="s">
        <v>44</v>
      </c>
      <c r="J141" s="6">
        <v>8049</v>
      </c>
    </row>
    <row r="142" spans="1:10">
      <c r="A142" s="5">
        <v>139</v>
      </c>
      <c r="B142" s="3">
        <v>44001</v>
      </c>
      <c r="C142" s="1" t="s">
        <v>13</v>
      </c>
      <c r="D142" s="1" t="s">
        <v>4</v>
      </c>
      <c r="E142" s="1" t="s">
        <v>9</v>
      </c>
      <c r="F142" s="1" t="s">
        <v>32</v>
      </c>
      <c r="G142" s="1" t="s">
        <v>45</v>
      </c>
      <c r="H142" s="1">
        <v>2020</v>
      </c>
      <c r="I142" s="1" t="s">
        <v>44</v>
      </c>
      <c r="J142" s="6">
        <v>2836</v>
      </c>
    </row>
    <row r="143" spans="1:10">
      <c r="A143" s="5">
        <v>140</v>
      </c>
      <c r="B143" s="3">
        <v>44001</v>
      </c>
      <c r="C143" s="1" t="s">
        <v>2</v>
      </c>
      <c r="D143" s="1" t="s">
        <v>1</v>
      </c>
      <c r="E143" s="1" t="s">
        <v>3</v>
      </c>
      <c r="F143" s="1" t="s">
        <v>32</v>
      </c>
      <c r="G143" s="1" t="s">
        <v>45</v>
      </c>
      <c r="H143" s="1">
        <v>2020</v>
      </c>
      <c r="I143" s="1" t="s">
        <v>44</v>
      </c>
      <c r="J143" s="6">
        <v>1743</v>
      </c>
    </row>
    <row r="144" spans="1:10">
      <c r="A144" s="5">
        <v>141</v>
      </c>
      <c r="B144" s="3">
        <v>44002</v>
      </c>
      <c r="C144" s="1" t="s">
        <v>8</v>
      </c>
      <c r="D144" s="1" t="s">
        <v>4</v>
      </c>
      <c r="E144" s="1" t="s">
        <v>6</v>
      </c>
      <c r="F144" s="1" t="s">
        <v>30</v>
      </c>
      <c r="G144" s="1" t="s">
        <v>45</v>
      </c>
      <c r="H144" s="1">
        <v>2020</v>
      </c>
      <c r="I144" s="1" t="s">
        <v>44</v>
      </c>
      <c r="J144" s="6">
        <v>3844</v>
      </c>
    </row>
    <row r="145" spans="1:10">
      <c r="A145" s="5">
        <v>142</v>
      </c>
      <c r="B145" s="3">
        <v>44008</v>
      </c>
      <c r="C145" s="1" t="s">
        <v>8</v>
      </c>
      <c r="D145" s="1" t="s">
        <v>4</v>
      </c>
      <c r="E145" s="1" t="s">
        <v>6</v>
      </c>
      <c r="F145" s="1" t="s">
        <v>30</v>
      </c>
      <c r="G145" s="1" t="s">
        <v>45</v>
      </c>
      <c r="H145" s="1">
        <v>2020</v>
      </c>
      <c r="I145" s="1" t="s">
        <v>44</v>
      </c>
      <c r="J145" s="6">
        <v>7490</v>
      </c>
    </row>
    <row r="146" spans="1:10">
      <c r="A146" s="5">
        <v>143</v>
      </c>
      <c r="B146" s="3">
        <v>44010</v>
      </c>
      <c r="C146" s="1" t="s">
        <v>14</v>
      </c>
      <c r="D146" s="1" t="s">
        <v>1</v>
      </c>
      <c r="E146" s="1" t="s">
        <v>9</v>
      </c>
      <c r="F146" s="1" t="s">
        <v>30</v>
      </c>
      <c r="G146" s="1" t="s">
        <v>45</v>
      </c>
      <c r="H146" s="1">
        <v>2020</v>
      </c>
      <c r="I146" s="1" t="s">
        <v>44</v>
      </c>
      <c r="J146" s="6">
        <v>4483</v>
      </c>
    </row>
    <row r="147" spans="1:10">
      <c r="A147" s="5">
        <v>144</v>
      </c>
      <c r="B147" s="3">
        <v>44014</v>
      </c>
      <c r="C147" s="1" t="s">
        <v>8</v>
      </c>
      <c r="D147" s="1" t="s">
        <v>4</v>
      </c>
      <c r="E147" s="1" t="s">
        <v>11</v>
      </c>
      <c r="F147" s="1" t="s">
        <v>30</v>
      </c>
      <c r="G147" s="1" t="s">
        <v>27</v>
      </c>
      <c r="H147" s="1">
        <v>2020</v>
      </c>
      <c r="I147" s="1" t="s">
        <v>28</v>
      </c>
      <c r="J147" s="6">
        <v>7333</v>
      </c>
    </row>
    <row r="148" spans="1:10">
      <c r="A148" s="5">
        <v>145</v>
      </c>
      <c r="B148" s="3">
        <v>44014</v>
      </c>
      <c r="C148" s="1" t="s">
        <v>2</v>
      </c>
      <c r="D148" s="1" t="s">
        <v>1</v>
      </c>
      <c r="E148" s="1" t="s">
        <v>3</v>
      </c>
      <c r="F148" s="1" t="s">
        <v>30</v>
      </c>
      <c r="G148" s="1" t="s">
        <v>27</v>
      </c>
      <c r="H148" s="1">
        <v>2020</v>
      </c>
      <c r="I148" s="1" t="s">
        <v>28</v>
      </c>
      <c r="J148" s="6">
        <v>7654</v>
      </c>
    </row>
    <row r="149" spans="1:10">
      <c r="A149" s="5">
        <v>146</v>
      </c>
      <c r="B149" s="3">
        <v>44019</v>
      </c>
      <c r="C149" s="1" t="s">
        <v>8</v>
      </c>
      <c r="D149" s="1" t="s">
        <v>4</v>
      </c>
      <c r="E149" s="1" t="s">
        <v>12</v>
      </c>
      <c r="F149" s="1" t="s">
        <v>30</v>
      </c>
      <c r="G149" s="1" t="s">
        <v>27</v>
      </c>
      <c r="H149" s="1">
        <v>2020</v>
      </c>
      <c r="I149" s="1" t="s">
        <v>28</v>
      </c>
      <c r="J149" s="6">
        <v>3944</v>
      </c>
    </row>
    <row r="150" spans="1:10">
      <c r="A150" s="5">
        <v>147</v>
      </c>
      <c r="B150" s="3">
        <v>44020</v>
      </c>
      <c r="C150" s="1" t="s">
        <v>7</v>
      </c>
      <c r="D150" s="1" t="s">
        <v>1</v>
      </c>
      <c r="E150" s="1" t="s">
        <v>9</v>
      </c>
      <c r="F150" s="1" t="s">
        <v>30</v>
      </c>
      <c r="G150" s="1" t="s">
        <v>27</v>
      </c>
      <c r="H150" s="1">
        <v>2020</v>
      </c>
      <c r="I150" s="1" t="s">
        <v>28</v>
      </c>
      <c r="J150" s="6">
        <v>5761</v>
      </c>
    </row>
    <row r="151" spans="1:10">
      <c r="A151" s="5">
        <v>148</v>
      </c>
      <c r="B151" s="3">
        <v>44021</v>
      </c>
      <c r="C151" s="1" t="s">
        <v>13</v>
      </c>
      <c r="D151" s="1" t="s">
        <v>4</v>
      </c>
      <c r="E151" s="1" t="s">
        <v>10</v>
      </c>
      <c r="F151" s="1" t="s">
        <v>26</v>
      </c>
      <c r="G151" s="1" t="s">
        <v>27</v>
      </c>
      <c r="H151" s="1">
        <v>2020</v>
      </c>
      <c r="I151" s="1" t="s">
        <v>28</v>
      </c>
      <c r="J151" s="6">
        <v>6864</v>
      </c>
    </row>
    <row r="152" spans="1:10">
      <c r="A152" s="5">
        <v>149</v>
      </c>
      <c r="B152" s="3">
        <v>44022</v>
      </c>
      <c r="C152" s="1" t="s">
        <v>13</v>
      </c>
      <c r="D152" s="1" t="s">
        <v>4</v>
      </c>
      <c r="E152" s="1" t="s">
        <v>9</v>
      </c>
      <c r="F152" s="1" t="s">
        <v>30</v>
      </c>
      <c r="G152" s="1" t="s">
        <v>27</v>
      </c>
      <c r="H152" s="1">
        <v>2020</v>
      </c>
      <c r="I152" s="1" t="s">
        <v>28</v>
      </c>
      <c r="J152" s="6">
        <v>4016</v>
      </c>
    </row>
    <row r="153" spans="1:10">
      <c r="A153" s="5">
        <v>150</v>
      </c>
      <c r="B153" s="3">
        <v>44031</v>
      </c>
      <c r="C153" s="1" t="s">
        <v>13</v>
      </c>
      <c r="D153" s="1" t="s">
        <v>4</v>
      </c>
      <c r="E153" s="1" t="s">
        <v>3</v>
      </c>
      <c r="F153" s="1" t="s">
        <v>30</v>
      </c>
      <c r="G153" s="1" t="s">
        <v>27</v>
      </c>
      <c r="H153" s="1">
        <v>2020</v>
      </c>
      <c r="I153" s="1" t="s">
        <v>28</v>
      </c>
      <c r="J153" s="6">
        <v>1841</v>
      </c>
    </row>
    <row r="154" spans="1:10">
      <c r="A154" s="5">
        <v>151</v>
      </c>
      <c r="B154" s="3">
        <v>44032</v>
      </c>
      <c r="C154" s="1" t="s">
        <v>13</v>
      </c>
      <c r="D154" s="1" t="s">
        <v>4</v>
      </c>
      <c r="E154" s="1" t="s">
        <v>0</v>
      </c>
      <c r="F154" s="1" t="s">
        <v>30</v>
      </c>
      <c r="G154" s="1" t="s">
        <v>27</v>
      </c>
      <c r="H154" s="1">
        <v>2020</v>
      </c>
      <c r="I154" s="1" t="s">
        <v>28</v>
      </c>
      <c r="J154" s="6">
        <v>424</v>
      </c>
    </row>
    <row r="155" spans="1:10">
      <c r="A155" s="5">
        <v>152</v>
      </c>
      <c r="B155" s="3">
        <v>44034</v>
      </c>
      <c r="C155" s="1" t="s">
        <v>13</v>
      </c>
      <c r="D155" s="1" t="s">
        <v>4</v>
      </c>
      <c r="E155" s="1" t="s">
        <v>12</v>
      </c>
      <c r="F155" s="1" t="s">
        <v>30</v>
      </c>
      <c r="G155" s="1" t="s">
        <v>27</v>
      </c>
      <c r="H155" s="1">
        <v>2020</v>
      </c>
      <c r="I155" s="1" t="s">
        <v>28</v>
      </c>
      <c r="J155" s="6">
        <v>8765</v>
      </c>
    </row>
    <row r="156" spans="1:10">
      <c r="A156" s="5">
        <v>153</v>
      </c>
      <c r="B156" s="3">
        <v>44035</v>
      </c>
      <c r="C156" s="1" t="s">
        <v>13</v>
      </c>
      <c r="D156" s="1" t="s">
        <v>4</v>
      </c>
      <c r="E156" s="1" t="s">
        <v>3</v>
      </c>
      <c r="F156" s="1" t="s">
        <v>26</v>
      </c>
      <c r="G156" s="1" t="s">
        <v>27</v>
      </c>
      <c r="H156" s="1">
        <v>2020</v>
      </c>
      <c r="I156" s="1" t="s">
        <v>28</v>
      </c>
      <c r="J156" s="6">
        <v>5583</v>
      </c>
    </row>
    <row r="157" spans="1:10">
      <c r="A157" s="5">
        <v>154</v>
      </c>
      <c r="B157" s="3">
        <v>44041</v>
      </c>
      <c r="C157" s="1" t="s">
        <v>14</v>
      </c>
      <c r="D157" s="1" t="s">
        <v>1</v>
      </c>
      <c r="E157" s="1" t="s">
        <v>10</v>
      </c>
      <c r="F157" s="1" t="s">
        <v>30</v>
      </c>
      <c r="G157" s="1" t="s">
        <v>27</v>
      </c>
      <c r="H157" s="1">
        <v>2020</v>
      </c>
      <c r="I157" s="1" t="s">
        <v>28</v>
      </c>
      <c r="J157" s="6">
        <v>4390</v>
      </c>
    </row>
    <row r="158" spans="1:10">
      <c r="A158" s="5">
        <v>155</v>
      </c>
      <c r="B158" s="3">
        <v>44044</v>
      </c>
      <c r="C158" s="1" t="s">
        <v>14</v>
      </c>
      <c r="D158" s="1" t="s">
        <v>1</v>
      </c>
      <c r="E158" s="1" t="s">
        <v>11</v>
      </c>
      <c r="F158" s="1" t="s">
        <v>26</v>
      </c>
      <c r="G158" s="1" t="s">
        <v>31</v>
      </c>
      <c r="H158" s="1">
        <v>2020</v>
      </c>
      <c r="I158" s="1" t="s">
        <v>28</v>
      </c>
      <c r="J158" s="6">
        <v>352</v>
      </c>
    </row>
    <row r="159" spans="1:10">
      <c r="A159" s="5">
        <v>156</v>
      </c>
      <c r="B159" s="3">
        <v>44045</v>
      </c>
      <c r="C159" s="1" t="s">
        <v>8</v>
      </c>
      <c r="D159" s="1" t="s">
        <v>4</v>
      </c>
      <c r="E159" s="1" t="s">
        <v>3</v>
      </c>
      <c r="F159" s="1" t="s">
        <v>26</v>
      </c>
      <c r="G159" s="1" t="s">
        <v>31</v>
      </c>
      <c r="H159" s="1">
        <v>2020</v>
      </c>
      <c r="I159" s="1" t="s">
        <v>28</v>
      </c>
      <c r="J159" s="6">
        <v>8489</v>
      </c>
    </row>
    <row r="160" spans="1:10">
      <c r="A160" s="5">
        <v>157</v>
      </c>
      <c r="B160" s="3">
        <v>44049</v>
      </c>
      <c r="C160" s="1" t="s">
        <v>13</v>
      </c>
      <c r="D160" s="1" t="s">
        <v>4</v>
      </c>
      <c r="E160" s="1" t="s">
        <v>6</v>
      </c>
      <c r="F160" s="1" t="s">
        <v>26</v>
      </c>
      <c r="G160" s="1" t="s">
        <v>31</v>
      </c>
      <c r="H160" s="1">
        <v>2020</v>
      </c>
      <c r="I160" s="1" t="s">
        <v>28</v>
      </c>
      <c r="J160" s="6">
        <v>7090</v>
      </c>
    </row>
    <row r="161" spans="1:10">
      <c r="A161" s="5">
        <v>158</v>
      </c>
      <c r="B161" s="3">
        <v>44050</v>
      </c>
      <c r="C161" s="1" t="s">
        <v>13</v>
      </c>
      <c r="D161" s="1" t="s">
        <v>4</v>
      </c>
      <c r="E161" s="1" t="s">
        <v>3</v>
      </c>
      <c r="F161" s="1" t="s">
        <v>26</v>
      </c>
      <c r="G161" s="1" t="s">
        <v>31</v>
      </c>
      <c r="H161" s="1">
        <v>2020</v>
      </c>
      <c r="I161" s="1" t="s">
        <v>28</v>
      </c>
      <c r="J161" s="6">
        <v>7880</v>
      </c>
    </row>
    <row r="162" spans="1:10">
      <c r="A162" s="5">
        <v>159</v>
      </c>
      <c r="B162" s="3">
        <v>44052</v>
      </c>
      <c r="C162" s="1" t="s">
        <v>5</v>
      </c>
      <c r="D162" s="1" t="s">
        <v>4</v>
      </c>
      <c r="E162" s="1" t="s">
        <v>3</v>
      </c>
      <c r="F162" s="1" t="s">
        <v>30</v>
      </c>
      <c r="G162" s="1" t="s">
        <v>31</v>
      </c>
      <c r="H162" s="1">
        <v>2020</v>
      </c>
      <c r="I162" s="1" t="s">
        <v>28</v>
      </c>
      <c r="J162" s="6">
        <v>3861</v>
      </c>
    </row>
    <row r="163" spans="1:10">
      <c r="A163" s="5">
        <v>160</v>
      </c>
      <c r="B163" s="3">
        <v>44052</v>
      </c>
      <c r="C163" s="1" t="s">
        <v>14</v>
      </c>
      <c r="D163" s="1" t="s">
        <v>1</v>
      </c>
      <c r="E163" s="1" t="s">
        <v>9</v>
      </c>
      <c r="F163" s="1" t="s">
        <v>26</v>
      </c>
      <c r="G163" s="1" t="s">
        <v>31</v>
      </c>
      <c r="H163" s="1">
        <v>2020</v>
      </c>
      <c r="I163" s="1" t="s">
        <v>28</v>
      </c>
      <c r="J163" s="6">
        <v>7927</v>
      </c>
    </row>
    <row r="164" spans="1:10">
      <c r="A164" s="5">
        <v>161</v>
      </c>
      <c r="B164" s="3">
        <v>44053</v>
      </c>
      <c r="C164" s="1" t="s">
        <v>13</v>
      </c>
      <c r="D164" s="1" t="s">
        <v>4</v>
      </c>
      <c r="E164" s="1" t="s">
        <v>3</v>
      </c>
      <c r="F164" s="1" t="s">
        <v>26</v>
      </c>
      <c r="G164" s="1" t="s">
        <v>31</v>
      </c>
      <c r="H164" s="1">
        <v>2020</v>
      </c>
      <c r="I164" s="1" t="s">
        <v>28</v>
      </c>
      <c r="J164" s="6">
        <v>6162</v>
      </c>
    </row>
    <row r="165" spans="1:10">
      <c r="A165" s="5">
        <v>162</v>
      </c>
      <c r="B165" s="3">
        <v>44054</v>
      </c>
      <c r="C165" s="1" t="s">
        <v>15</v>
      </c>
      <c r="D165" s="1" t="s">
        <v>4</v>
      </c>
      <c r="E165" s="1" t="s">
        <v>0</v>
      </c>
      <c r="F165" s="1" t="s">
        <v>26</v>
      </c>
      <c r="G165" s="1" t="s">
        <v>31</v>
      </c>
      <c r="H165" s="1">
        <v>2020</v>
      </c>
      <c r="I165" s="1" t="s">
        <v>28</v>
      </c>
      <c r="J165" s="6">
        <v>5523</v>
      </c>
    </row>
    <row r="166" spans="1:10">
      <c r="A166" s="5">
        <v>163</v>
      </c>
      <c r="B166" s="3">
        <v>44058</v>
      </c>
      <c r="C166" s="1" t="s">
        <v>14</v>
      </c>
      <c r="D166" s="1" t="s">
        <v>1</v>
      </c>
      <c r="E166" s="1" t="s">
        <v>12</v>
      </c>
      <c r="F166" s="1" t="s">
        <v>26</v>
      </c>
      <c r="G166" s="1" t="s">
        <v>31</v>
      </c>
      <c r="H166" s="1">
        <v>2020</v>
      </c>
      <c r="I166" s="1" t="s">
        <v>28</v>
      </c>
      <c r="J166" s="6">
        <v>5936</v>
      </c>
    </row>
    <row r="167" spans="1:10">
      <c r="A167" s="5">
        <v>164</v>
      </c>
      <c r="B167" s="3">
        <v>44058</v>
      </c>
      <c r="C167" s="1" t="s">
        <v>2</v>
      </c>
      <c r="D167" s="1" t="s">
        <v>1</v>
      </c>
      <c r="E167" s="1" t="s">
        <v>9</v>
      </c>
      <c r="F167" s="1" t="s">
        <v>26</v>
      </c>
      <c r="G167" s="1" t="s">
        <v>31</v>
      </c>
      <c r="H167" s="1">
        <v>2020</v>
      </c>
      <c r="I167" s="1" t="s">
        <v>28</v>
      </c>
      <c r="J167" s="6">
        <v>7251</v>
      </c>
    </row>
    <row r="168" spans="1:10">
      <c r="A168" s="5">
        <v>165</v>
      </c>
      <c r="B168" s="3">
        <v>44059</v>
      </c>
      <c r="C168" s="1" t="s">
        <v>5</v>
      </c>
      <c r="D168" s="1" t="s">
        <v>4</v>
      </c>
      <c r="E168" s="1" t="s">
        <v>0</v>
      </c>
      <c r="F168" s="1" t="s">
        <v>26</v>
      </c>
      <c r="G168" s="1" t="s">
        <v>31</v>
      </c>
      <c r="H168" s="1">
        <v>2020</v>
      </c>
      <c r="I168" s="1" t="s">
        <v>28</v>
      </c>
      <c r="J168" s="6">
        <v>6187</v>
      </c>
    </row>
    <row r="169" spans="1:10">
      <c r="A169" s="5">
        <v>166</v>
      </c>
      <c r="B169" s="3">
        <v>44060</v>
      </c>
      <c r="C169" s="1" t="s">
        <v>13</v>
      </c>
      <c r="D169" s="1" t="s">
        <v>4</v>
      </c>
      <c r="E169" s="1" t="s">
        <v>9</v>
      </c>
      <c r="F169" s="1" t="s">
        <v>29</v>
      </c>
      <c r="G169" s="1" t="s">
        <v>31</v>
      </c>
      <c r="H169" s="1">
        <v>2020</v>
      </c>
      <c r="I169" s="1" t="s">
        <v>28</v>
      </c>
      <c r="J169" s="6">
        <v>3210</v>
      </c>
    </row>
    <row r="170" spans="1:10">
      <c r="A170" s="5">
        <v>167</v>
      </c>
      <c r="B170" s="3">
        <v>44064</v>
      </c>
      <c r="C170" s="1" t="s">
        <v>2</v>
      </c>
      <c r="D170" s="1" t="s">
        <v>1</v>
      </c>
      <c r="E170" s="1" t="s">
        <v>9</v>
      </c>
      <c r="F170" s="1" t="s">
        <v>29</v>
      </c>
      <c r="G170" s="1" t="s">
        <v>31</v>
      </c>
      <c r="H170" s="1">
        <v>2020</v>
      </c>
      <c r="I170" s="1" t="s">
        <v>28</v>
      </c>
      <c r="J170" s="6">
        <v>682</v>
      </c>
    </row>
    <row r="171" spans="1:10">
      <c r="A171" s="5">
        <v>168</v>
      </c>
      <c r="B171" s="3">
        <v>44065</v>
      </c>
      <c r="C171" s="1" t="s">
        <v>13</v>
      </c>
      <c r="D171" s="1" t="s">
        <v>4</v>
      </c>
      <c r="E171" s="1" t="s">
        <v>0</v>
      </c>
      <c r="F171" s="1" t="s">
        <v>29</v>
      </c>
      <c r="G171" s="1" t="s">
        <v>31</v>
      </c>
      <c r="H171" s="1">
        <v>2020</v>
      </c>
      <c r="I171" s="1" t="s">
        <v>28</v>
      </c>
      <c r="J171" s="6">
        <v>793</v>
      </c>
    </row>
    <row r="172" spans="1:10">
      <c r="A172" s="5">
        <v>169</v>
      </c>
      <c r="B172" s="3">
        <v>44067</v>
      </c>
      <c r="C172" s="1" t="s">
        <v>2</v>
      </c>
      <c r="D172" s="1" t="s">
        <v>1</v>
      </c>
      <c r="E172" s="1" t="s">
        <v>9</v>
      </c>
      <c r="F172" s="1" t="s">
        <v>29</v>
      </c>
      <c r="G172" s="1" t="s">
        <v>31</v>
      </c>
      <c r="H172" s="1">
        <v>2020</v>
      </c>
      <c r="I172" s="1" t="s">
        <v>28</v>
      </c>
      <c r="J172" s="6">
        <v>5346</v>
      </c>
    </row>
    <row r="173" spans="1:10">
      <c r="A173" s="5">
        <v>170</v>
      </c>
      <c r="B173" s="3">
        <v>44070</v>
      </c>
      <c r="C173" s="1" t="s">
        <v>13</v>
      </c>
      <c r="D173" s="1" t="s">
        <v>4</v>
      </c>
      <c r="E173" s="1" t="s">
        <v>10</v>
      </c>
      <c r="F173" s="1" t="s">
        <v>29</v>
      </c>
      <c r="G173" s="1" t="s">
        <v>31</v>
      </c>
      <c r="H173" s="1">
        <v>2020</v>
      </c>
      <c r="I173" s="1" t="s">
        <v>28</v>
      </c>
      <c r="J173" s="6">
        <v>7103</v>
      </c>
    </row>
    <row r="174" spans="1:10">
      <c r="A174" s="5">
        <v>171</v>
      </c>
      <c r="B174" s="3">
        <v>44073</v>
      </c>
      <c r="C174" s="1" t="s">
        <v>2</v>
      </c>
      <c r="D174" s="1" t="s">
        <v>1</v>
      </c>
      <c r="E174" s="1" t="s">
        <v>3</v>
      </c>
      <c r="F174" s="1" t="s">
        <v>29</v>
      </c>
      <c r="G174" s="1" t="s">
        <v>31</v>
      </c>
      <c r="H174" s="1">
        <v>2020</v>
      </c>
      <c r="I174" s="1" t="s">
        <v>28</v>
      </c>
      <c r="J174" s="6">
        <v>4603</v>
      </c>
    </row>
    <row r="175" spans="1:10">
      <c r="A175" s="5">
        <v>172</v>
      </c>
      <c r="B175" s="3">
        <v>44075</v>
      </c>
      <c r="C175" s="1" t="s">
        <v>8</v>
      </c>
      <c r="D175" s="1" t="s">
        <v>4</v>
      </c>
      <c r="E175" s="1" t="s">
        <v>6</v>
      </c>
      <c r="F175" s="1" t="s">
        <v>29</v>
      </c>
      <c r="G175" s="1" t="s">
        <v>33</v>
      </c>
      <c r="H175" s="1">
        <v>2020</v>
      </c>
      <c r="I175" s="1" t="s">
        <v>28</v>
      </c>
      <c r="J175" s="6">
        <v>8160</v>
      </c>
    </row>
    <row r="176" spans="1:10">
      <c r="A176" s="5">
        <v>173</v>
      </c>
      <c r="B176" s="3">
        <v>44076</v>
      </c>
      <c r="C176" s="1" t="s">
        <v>8</v>
      </c>
      <c r="D176" s="1" t="s">
        <v>4</v>
      </c>
      <c r="E176" s="1" t="s">
        <v>12</v>
      </c>
      <c r="F176" s="1" t="s">
        <v>29</v>
      </c>
      <c r="G176" s="1" t="s">
        <v>33</v>
      </c>
      <c r="H176" s="1">
        <v>2020</v>
      </c>
      <c r="I176" s="1" t="s">
        <v>28</v>
      </c>
      <c r="J176" s="6">
        <v>7171</v>
      </c>
    </row>
    <row r="177" spans="1:10">
      <c r="A177" s="5">
        <v>174</v>
      </c>
      <c r="B177" s="3">
        <v>44077</v>
      </c>
      <c r="C177" s="1" t="s">
        <v>13</v>
      </c>
      <c r="D177" s="1" t="s">
        <v>4</v>
      </c>
      <c r="E177" s="1" t="s">
        <v>10</v>
      </c>
      <c r="F177" s="1" t="s">
        <v>26</v>
      </c>
      <c r="G177" s="1" t="s">
        <v>33</v>
      </c>
      <c r="H177" s="1">
        <v>2020</v>
      </c>
      <c r="I177" s="1" t="s">
        <v>28</v>
      </c>
      <c r="J177" s="6">
        <v>3552</v>
      </c>
    </row>
    <row r="178" spans="1:10">
      <c r="A178" s="5">
        <v>175</v>
      </c>
      <c r="B178" s="3">
        <v>44080</v>
      </c>
      <c r="C178" s="1" t="s">
        <v>13</v>
      </c>
      <c r="D178" s="1" t="s">
        <v>4</v>
      </c>
      <c r="E178" s="1" t="s">
        <v>0</v>
      </c>
      <c r="F178" s="1" t="s">
        <v>29</v>
      </c>
      <c r="G178" s="1" t="s">
        <v>33</v>
      </c>
      <c r="H178" s="1">
        <v>2020</v>
      </c>
      <c r="I178" s="1" t="s">
        <v>28</v>
      </c>
      <c r="J178" s="6">
        <v>7273</v>
      </c>
    </row>
    <row r="179" spans="1:10">
      <c r="A179" s="5">
        <v>176</v>
      </c>
      <c r="B179" s="3">
        <v>44082</v>
      </c>
      <c r="C179" s="1" t="s">
        <v>13</v>
      </c>
      <c r="D179" s="1" t="s">
        <v>4</v>
      </c>
      <c r="E179" s="1" t="s">
        <v>9</v>
      </c>
      <c r="F179" s="1" t="s">
        <v>29</v>
      </c>
      <c r="G179" s="1" t="s">
        <v>33</v>
      </c>
      <c r="H179" s="1">
        <v>2020</v>
      </c>
      <c r="I179" s="1" t="s">
        <v>28</v>
      </c>
      <c r="J179" s="6">
        <v>2402</v>
      </c>
    </row>
    <row r="180" spans="1:10">
      <c r="A180" s="5">
        <v>177</v>
      </c>
      <c r="B180" s="3">
        <v>44082</v>
      </c>
      <c r="C180" s="1" t="s">
        <v>13</v>
      </c>
      <c r="D180" s="1" t="s">
        <v>4</v>
      </c>
      <c r="E180" s="1" t="s">
        <v>0</v>
      </c>
      <c r="F180" s="1" t="s">
        <v>30</v>
      </c>
      <c r="G180" s="1" t="s">
        <v>33</v>
      </c>
      <c r="H180" s="1">
        <v>2020</v>
      </c>
      <c r="I180" s="1" t="s">
        <v>28</v>
      </c>
      <c r="J180" s="6">
        <v>1197</v>
      </c>
    </row>
    <row r="181" spans="1:10">
      <c r="A181" s="5">
        <v>178</v>
      </c>
      <c r="B181" s="3">
        <v>44083</v>
      </c>
      <c r="C181" s="1" t="s">
        <v>7</v>
      </c>
      <c r="D181" s="1" t="s">
        <v>1</v>
      </c>
      <c r="E181" s="1" t="s">
        <v>0</v>
      </c>
      <c r="F181" s="1" t="s">
        <v>30</v>
      </c>
      <c r="G181" s="1" t="s">
        <v>33</v>
      </c>
      <c r="H181" s="1">
        <v>2020</v>
      </c>
      <c r="I181" s="1" t="s">
        <v>28</v>
      </c>
      <c r="J181" s="6">
        <v>5015</v>
      </c>
    </row>
    <row r="182" spans="1:10">
      <c r="A182" s="5">
        <v>179</v>
      </c>
      <c r="B182" s="3">
        <v>44083</v>
      </c>
      <c r="C182" s="1" t="s">
        <v>5</v>
      </c>
      <c r="D182" s="1" t="s">
        <v>4</v>
      </c>
      <c r="E182" s="1" t="s">
        <v>3</v>
      </c>
      <c r="F182" s="1" t="s">
        <v>30</v>
      </c>
      <c r="G182" s="1" t="s">
        <v>33</v>
      </c>
      <c r="H182" s="1">
        <v>2020</v>
      </c>
      <c r="I182" s="1" t="s">
        <v>28</v>
      </c>
      <c r="J182" s="6">
        <v>5818</v>
      </c>
    </row>
    <row r="183" spans="1:10">
      <c r="A183" s="5">
        <v>180</v>
      </c>
      <c r="B183" s="3">
        <v>44083</v>
      </c>
      <c r="C183" s="1" t="s">
        <v>13</v>
      </c>
      <c r="D183" s="1" t="s">
        <v>4</v>
      </c>
      <c r="E183" s="1" t="s">
        <v>12</v>
      </c>
      <c r="F183" s="1" t="s">
        <v>30</v>
      </c>
      <c r="G183" s="1" t="s">
        <v>33</v>
      </c>
      <c r="H183" s="1">
        <v>2020</v>
      </c>
      <c r="I183" s="1" t="s">
        <v>28</v>
      </c>
      <c r="J183" s="6">
        <v>4399</v>
      </c>
    </row>
    <row r="184" spans="1:10">
      <c r="A184" s="5">
        <v>181</v>
      </c>
      <c r="B184" s="3">
        <v>44083</v>
      </c>
      <c r="C184" s="1" t="s">
        <v>2</v>
      </c>
      <c r="D184" s="1" t="s">
        <v>1</v>
      </c>
      <c r="E184" s="1" t="s">
        <v>3</v>
      </c>
      <c r="F184" s="1" t="s">
        <v>30</v>
      </c>
      <c r="G184" s="1" t="s">
        <v>33</v>
      </c>
      <c r="H184" s="1">
        <v>2020</v>
      </c>
      <c r="I184" s="1" t="s">
        <v>28</v>
      </c>
      <c r="J184" s="6">
        <v>3011</v>
      </c>
    </row>
    <row r="185" spans="1:10">
      <c r="A185" s="5">
        <v>182</v>
      </c>
      <c r="B185" s="3">
        <v>44083</v>
      </c>
      <c r="C185" s="1" t="s">
        <v>8</v>
      </c>
      <c r="D185" s="1" t="s">
        <v>4</v>
      </c>
      <c r="E185" s="1" t="s">
        <v>12</v>
      </c>
      <c r="F185" s="1" t="s">
        <v>30</v>
      </c>
      <c r="G185" s="1" t="s">
        <v>33</v>
      </c>
      <c r="H185" s="1">
        <v>2020</v>
      </c>
      <c r="I185" s="1" t="s">
        <v>28</v>
      </c>
      <c r="J185" s="6">
        <v>4715</v>
      </c>
    </row>
    <row r="186" spans="1:10">
      <c r="A186" s="5">
        <v>183</v>
      </c>
      <c r="B186" s="3">
        <v>44085</v>
      </c>
      <c r="C186" s="1" t="s">
        <v>8</v>
      </c>
      <c r="D186" s="1" t="s">
        <v>4</v>
      </c>
      <c r="E186" s="1" t="s">
        <v>6</v>
      </c>
      <c r="F186" s="1" t="s">
        <v>30</v>
      </c>
      <c r="G186" s="1" t="s">
        <v>33</v>
      </c>
      <c r="H186" s="1">
        <v>2020</v>
      </c>
      <c r="I186" s="1" t="s">
        <v>28</v>
      </c>
      <c r="J186" s="6">
        <v>5321</v>
      </c>
    </row>
    <row r="187" spans="1:10">
      <c r="A187" s="5">
        <v>184</v>
      </c>
      <c r="B187" s="3">
        <v>44089</v>
      </c>
      <c r="C187" s="1" t="s">
        <v>13</v>
      </c>
      <c r="D187" s="1" t="s">
        <v>4</v>
      </c>
      <c r="E187" s="1" t="s">
        <v>3</v>
      </c>
      <c r="F187" s="1" t="s">
        <v>30</v>
      </c>
      <c r="G187" s="1" t="s">
        <v>33</v>
      </c>
      <c r="H187" s="1">
        <v>2020</v>
      </c>
      <c r="I187" s="1" t="s">
        <v>28</v>
      </c>
      <c r="J187" s="6">
        <v>8894</v>
      </c>
    </row>
    <row r="188" spans="1:10">
      <c r="A188" s="5">
        <v>185</v>
      </c>
      <c r="B188" s="3">
        <v>44090</v>
      </c>
      <c r="C188" s="1" t="s">
        <v>2</v>
      </c>
      <c r="D188" s="1" t="s">
        <v>1</v>
      </c>
      <c r="E188" s="1" t="s">
        <v>12</v>
      </c>
      <c r="F188" s="1" t="s">
        <v>26</v>
      </c>
      <c r="G188" s="1" t="s">
        <v>33</v>
      </c>
      <c r="H188" s="1">
        <v>2020</v>
      </c>
      <c r="I188" s="1" t="s">
        <v>28</v>
      </c>
      <c r="J188" s="6">
        <v>4846</v>
      </c>
    </row>
    <row r="189" spans="1:10">
      <c r="A189" s="5">
        <v>186</v>
      </c>
      <c r="B189" s="3">
        <v>44090</v>
      </c>
      <c r="C189" s="1" t="s">
        <v>14</v>
      </c>
      <c r="D189" s="1" t="s">
        <v>1</v>
      </c>
      <c r="E189" s="1" t="s">
        <v>9</v>
      </c>
      <c r="F189" s="1" t="s">
        <v>29</v>
      </c>
      <c r="G189" s="1" t="s">
        <v>33</v>
      </c>
      <c r="H189" s="1">
        <v>2020</v>
      </c>
      <c r="I189" s="1" t="s">
        <v>28</v>
      </c>
      <c r="J189" s="6">
        <v>284</v>
      </c>
    </row>
    <row r="190" spans="1:10">
      <c r="A190" s="5">
        <v>187</v>
      </c>
      <c r="B190" s="3">
        <v>44092</v>
      </c>
      <c r="C190" s="1" t="s">
        <v>5</v>
      </c>
      <c r="D190" s="1" t="s">
        <v>4</v>
      </c>
      <c r="E190" s="1" t="s">
        <v>12</v>
      </c>
      <c r="F190" s="1" t="s">
        <v>32</v>
      </c>
      <c r="G190" s="1" t="s">
        <v>33</v>
      </c>
      <c r="H190" s="1">
        <v>2020</v>
      </c>
      <c r="I190" s="1" t="s">
        <v>28</v>
      </c>
      <c r="J190" s="6">
        <v>8283</v>
      </c>
    </row>
    <row r="191" spans="1:10">
      <c r="A191" s="5">
        <v>188</v>
      </c>
      <c r="B191" s="3">
        <v>44094</v>
      </c>
      <c r="C191" s="1" t="s">
        <v>5</v>
      </c>
      <c r="D191" s="1" t="s">
        <v>4</v>
      </c>
      <c r="E191" s="1" t="s">
        <v>11</v>
      </c>
      <c r="F191" s="1" t="s">
        <v>32</v>
      </c>
      <c r="G191" s="1" t="s">
        <v>33</v>
      </c>
      <c r="H191" s="1">
        <v>2020</v>
      </c>
      <c r="I191" s="1" t="s">
        <v>28</v>
      </c>
      <c r="J191" s="6">
        <v>9990</v>
      </c>
    </row>
    <row r="192" spans="1:10">
      <c r="A192" s="5">
        <v>189</v>
      </c>
      <c r="B192" s="3">
        <v>44098</v>
      </c>
      <c r="C192" s="1" t="s">
        <v>13</v>
      </c>
      <c r="D192" s="1" t="s">
        <v>4</v>
      </c>
      <c r="E192" s="1" t="s">
        <v>0</v>
      </c>
      <c r="F192" s="1" t="s">
        <v>32</v>
      </c>
      <c r="G192" s="1" t="s">
        <v>47</v>
      </c>
      <c r="H192" s="1">
        <v>2020</v>
      </c>
      <c r="I192" s="1" t="s">
        <v>28</v>
      </c>
      <c r="J192" s="6">
        <v>9014</v>
      </c>
    </row>
    <row r="193" spans="1:10">
      <c r="A193" s="5">
        <v>190</v>
      </c>
      <c r="B193" s="3">
        <v>44098</v>
      </c>
      <c r="C193" s="1" t="s">
        <v>8</v>
      </c>
      <c r="D193" s="1" t="s">
        <v>4</v>
      </c>
      <c r="E193" s="1" t="s">
        <v>6</v>
      </c>
      <c r="F193" s="1" t="s">
        <v>32</v>
      </c>
      <c r="G193" s="1" t="s">
        <v>33</v>
      </c>
      <c r="H193" s="1">
        <v>2020</v>
      </c>
      <c r="I193" s="1" t="s">
        <v>28</v>
      </c>
      <c r="J193" s="6">
        <v>1942</v>
      </c>
    </row>
    <row r="194" spans="1:10">
      <c r="A194" s="5">
        <v>191</v>
      </c>
      <c r="B194" s="3">
        <v>44098</v>
      </c>
      <c r="C194" s="1" t="s">
        <v>13</v>
      </c>
      <c r="D194" s="1" t="s">
        <v>4</v>
      </c>
      <c r="E194" s="1" t="s">
        <v>3</v>
      </c>
      <c r="F194" s="1" t="s">
        <v>30</v>
      </c>
      <c r="G194" s="1" t="s">
        <v>33</v>
      </c>
      <c r="H194" s="1">
        <v>2020</v>
      </c>
      <c r="I194" s="1" t="s">
        <v>28</v>
      </c>
      <c r="J194" s="6">
        <v>7223</v>
      </c>
    </row>
    <row r="195" spans="1:10">
      <c r="A195" s="5">
        <v>192</v>
      </c>
      <c r="B195" s="3">
        <v>44099</v>
      </c>
      <c r="C195" s="1" t="s">
        <v>2</v>
      </c>
      <c r="D195" s="1" t="s">
        <v>1</v>
      </c>
      <c r="E195" s="1" t="s">
        <v>3</v>
      </c>
      <c r="F195" s="1" t="s">
        <v>30</v>
      </c>
      <c r="G195" s="1" t="s">
        <v>33</v>
      </c>
      <c r="H195" s="1">
        <v>2020</v>
      </c>
      <c r="I195" s="1" t="s">
        <v>28</v>
      </c>
      <c r="J195" s="6">
        <v>4673</v>
      </c>
    </row>
    <row r="196" spans="1:10">
      <c r="A196" s="5">
        <v>193</v>
      </c>
      <c r="B196" s="3">
        <v>44100</v>
      </c>
      <c r="C196" s="1" t="s">
        <v>2</v>
      </c>
      <c r="D196" s="1" t="s">
        <v>1</v>
      </c>
      <c r="E196" s="1" t="s">
        <v>6</v>
      </c>
      <c r="F196" s="1" t="s">
        <v>30</v>
      </c>
      <c r="G196" s="1" t="s">
        <v>33</v>
      </c>
      <c r="H196" s="1">
        <v>2020</v>
      </c>
      <c r="I196" s="1" t="s">
        <v>28</v>
      </c>
      <c r="J196" s="6">
        <v>9104</v>
      </c>
    </row>
    <row r="197" spans="1:10">
      <c r="A197" s="5">
        <v>194</v>
      </c>
      <c r="B197" s="3">
        <v>44101</v>
      </c>
      <c r="C197" s="1" t="s">
        <v>8</v>
      </c>
      <c r="D197" s="1" t="s">
        <v>4</v>
      </c>
      <c r="E197" s="1" t="s">
        <v>3</v>
      </c>
      <c r="F197" s="1" t="s">
        <v>30</v>
      </c>
      <c r="G197" s="1" t="s">
        <v>33</v>
      </c>
      <c r="H197" s="1">
        <v>2020</v>
      </c>
      <c r="I197" s="1" t="s">
        <v>28</v>
      </c>
      <c r="J197" s="6">
        <v>6078</v>
      </c>
    </row>
    <row r="198" spans="1:10">
      <c r="A198" s="5">
        <v>195</v>
      </c>
      <c r="B198" s="3">
        <v>44101</v>
      </c>
      <c r="C198" s="1" t="s">
        <v>7</v>
      </c>
      <c r="D198" s="1" t="s">
        <v>1</v>
      </c>
      <c r="E198" s="1" t="s">
        <v>9</v>
      </c>
      <c r="F198" s="1" t="s">
        <v>30</v>
      </c>
      <c r="G198" s="1" t="s">
        <v>33</v>
      </c>
      <c r="H198" s="1">
        <v>2020</v>
      </c>
      <c r="I198" s="1" t="s">
        <v>28</v>
      </c>
      <c r="J198" s="6">
        <v>3278</v>
      </c>
    </row>
    <row r="199" spans="1:10">
      <c r="A199" s="5">
        <v>196</v>
      </c>
      <c r="B199" s="3">
        <v>44102</v>
      </c>
      <c r="C199" s="1" t="s">
        <v>13</v>
      </c>
      <c r="D199" s="1" t="s">
        <v>4</v>
      </c>
      <c r="E199" s="1" t="s">
        <v>11</v>
      </c>
      <c r="F199" s="1" t="s">
        <v>26</v>
      </c>
      <c r="G199" s="1" t="s">
        <v>33</v>
      </c>
      <c r="H199" s="1">
        <v>2020</v>
      </c>
      <c r="I199" s="1" t="s">
        <v>28</v>
      </c>
      <c r="J199" s="6">
        <v>136</v>
      </c>
    </row>
    <row r="200" spans="1:10">
      <c r="A200" s="5">
        <v>197</v>
      </c>
      <c r="B200" s="3">
        <v>44102</v>
      </c>
      <c r="C200" s="1" t="s">
        <v>13</v>
      </c>
      <c r="D200" s="1" t="s">
        <v>4</v>
      </c>
      <c r="E200" s="1" t="s">
        <v>0</v>
      </c>
      <c r="F200" s="1" t="s">
        <v>26</v>
      </c>
      <c r="G200" s="1" t="s">
        <v>33</v>
      </c>
      <c r="H200" s="1">
        <v>2020</v>
      </c>
      <c r="I200" s="1" t="s">
        <v>28</v>
      </c>
      <c r="J200" s="6">
        <v>8377</v>
      </c>
    </row>
    <row r="201" spans="1:10">
      <c r="A201" s="5">
        <v>198</v>
      </c>
      <c r="B201" s="3">
        <v>44103</v>
      </c>
      <c r="C201" s="1" t="s">
        <v>13</v>
      </c>
      <c r="D201" s="1" t="s">
        <v>4</v>
      </c>
      <c r="E201" s="1" t="s">
        <v>3</v>
      </c>
      <c r="F201" s="1" t="s">
        <v>26</v>
      </c>
      <c r="G201" s="1" t="s">
        <v>33</v>
      </c>
      <c r="H201" s="1">
        <v>2020</v>
      </c>
      <c r="I201" s="1" t="s">
        <v>28</v>
      </c>
      <c r="J201" s="6">
        <v>2382</v>
      </c>
    </row>
    <row r="202" spans="1:10">
      <c r="A202" s="5">
        <v>199</v>
      </c>
      <c r="B202" s="3">
        <v>44104</v>
      </c>
      <c r="C202" s="1" t="s">
        <v>13</v>
      </c>
      <c r="D202" s="1" t="s">
        <v>4</v>
      </c>
      <c r="E202" s="1" t="s">
        <v>9</v>
      </c>
      <c r="F202" s="1" t="s">
        <v>26</v>
      </c>
      <c r="G202" s="1" t="s">
        <v>33</v>
      </c>
      <c r="H202" s="1">
        <v>2020</v>
      </c>
      <c r="I202" s="1" t="s">
        <v>28</v>
      </c>
      <c r="J202" s="6">
        <v>8702</v>
      </c>
    </row>
    <row r="203" spans="1:10">
      <c r="A203" s="5">
        <v>200</v>
      </c>
      <c r="B203" s="3">
        <v>44111</v>
      </c>
      <c r="C203" s="1" t="s">
        <v>13</v>
      </c>
      <c r="D203" s="1" t="s">
        <v>4</v>
      </c>
      <c r="E203" s="1" t="s">
        <v>3</v>
      </c>
      <c r="F203" s="1" t="s">
        <v>26</v>
      </c>
      <c r="G203" s="1" t="s">
        <v>34</v>
      </c>
      <c r="H203" s="1">
        <v>2020</v>
      </c>
      <c r="I203" s="1" t="s">
        <v>35</v>
      </c>
      <c r="J203" s="6">
        <v>5021</v>
      </c>
    </row>
    <row r="204" spans="1:10">
      <c r="A204" s="5">
        <v>201</v>
      </c>
      <c r="B204" s="3">
        <v>44111</v>
      </c>
      <c r="C204" s="1" t="s">
        <v>8</v>
      </c>
      <c r="D204" s="1" t="s">
        <v>4</v>
      </c>
      <c r="E204" s="1" t="s">
        <v>0</v>
      </c>
      <c r="F204" s="1" t="s">
        <v>26</v>
      </c>
      <c r="G204" s="1" t="s">
        <v>34</v>
      </c>
      <c r="H204" s="1">
        <v>2020</v>
      </c>
      <c r="I204" s="1" t="s">
        <v>35</v>
      </c>
      <c r="J204" s="6">
        <v>1760</v>
      </c>
    </row>
    <row r="205" spans="1:10">
      <c r="A205" s="5">
        <v>202</v>
      </c>
      <c r="B205" s="3">
        <v>44112</v>
      </c>
      <c r="C205" s="1" t="s">
        <v>13</v>
      </c>
      <c r="D205" s="1" t="s">
        <v>4</v>
      </c>
      <c r="E205" s="1" t="s">
        <v>9</v>
      </c>
      <c r="F205" s="1" t="s">
        <v>26</v>
      </c>
      <c r="G205" s="1" t="s">
        <v>34</v>
      </c>
      <c r="H205" s="1">
        <v>2020</v>
      </c>
      <c r="I205" s="1" t="s">
        <v>35</v>
      </c>
      <c r="J205" s="6">
        <v>4766</v>
      </c>
    </row>
    <row r="206" spans="1:10">
      <c r="A206" s="5">
        <v>203</v>
      </c>
      <c r="B206" s="3">
        <v>44112</v>
      </c>
      <c r="C206" s="1" t="s">
        <v>7</v>
      </c>
      <c r="D206" s="1" t="s">
        <v>1</v>
      </c>
      <c r="E206" s="1" t="s">
        <v>12</v>
      </c>
      <c r="F206" s="1" t="s">
        <v>26</v>
      </c>
      <c r="G206" s="1" t="s">
        <v>34</v>
      </c>
      <c r="H206" s="1">
        <v>2020</v>
      </c>
      <c r="I206" s="1" t="s">
        <v>35</v>
      </c>
      <c r="J206" s="6">
        <v>1541</v>
      </c>
    </row>
    <row r="207" spans="1:10">
      <c r="A207" s="5">
        <v>204</v>
      </c>
      <c r="B207" s="3">
        <v>44112</v>
      </c>
      <c r="C207" s="1" t="s">
        <v>5</v>
      </c>
      <c r="D207" s="1" t="s">
        <v>4</v>
      </c>
      <c r="E207" s="1" t="s">
        <v>12</v>
      </c>
      <c r="F207" s="1" t="s">
        <v>26</v>
      </c>
      <c r="G207" s="1" t="s">
        <v>34</v>
      </c>
      <c r="H207" s="1">
        <v>2020</v>
      </c>
      <c r="I207" s="1" t="s">
        <v>35</v>
      </c>
      <c r="J207" s="6">
        <v>2782</v>
      </c>
    </row>
    <row r="208" spans="1:10">
      <c r="A208" s="5">
        <v>205</v>
      </c>
      <c r="B208" s="3">
        <v>44113</v>
      </c>
      <c r="C208" s="1" t="s">
        <v>8</v>
      </c>
      <c r="D208" s="1" t="s">
        <v>4</v>
      </c>
      <c r="E208" s="1" t="s">
        <v>11</v>
      </c>
      <c r="F208" s="1" t="s">
        <v>26</v>
      </c>
      <c r="G208" s="1" t="s">
        <v>34</v>
      </c>
      <c r="H208" s="1">
        <v>2020</v>
      </c>
      <c r="I208" s="1" t="s">
        <v>35</v>
      </c>
      <c r="J208" s="6">
        <v>2455</v>
      </c>
    </row>
    <row r="209" spans="1:10">
      <c r="A209" s="5">
        <v>206</v>
      </c>
      <c r="B209" s="3">
        <v>44113</v>
      </c>
      <c r="C209" s="1" t="s">
        <v>8</v>
      </c>
      <c r="D209" s="1" t="s">
        <v>4</v>
      </c>
      <c r="E209" s="1" t="s">
        <v>10</v>
      </c>
      <c r="F209" s="1" t="s">
        <v>26</v>
      </c>
      <c r="G209" s="1" t="s">
        <v>34</v>
      </c>
      <c r="H209" s="1">
        <v>2020</v>
      </c>
      <c r="I209" s="1" t="s">
        <v>35</v>
      </c>
      <c r="J209" s="6">
        <v>4512</v>
      </c>
    </row>
    <row r="210" spans="1:10">
      <c r="A210" s="5">
        <v>207</v>
      </c>
      <c r="B210" s="3">
        <v>44113</v>
      </c>
      <c r="C210" s="1" t="s">
        <v>8</v>
      </c>
      <c r="D210" s="1" t="s">
        <v>4</v>
      </c>
      <c r="E210" s="1" t="s">
        <v>9</v>
      </c>
      <c r="F210" s="1" t="s">
        <v>26</v>
      </c>
      <c r="G210" s="1" t="s">
        <v>34</v>
      </c>
      <c r="H210" s="1">
        <v>2020</v>
      </c>
      <c r="I210" s="1" t="s">
        <v>35</v>
      </c>
      <c r="J210" s="6">
        <v>8752</v>
      </c>
    </row>
    <row r="211" spans="1:10">
      <c r="A211" s="5">
        <v>208</v>
      </c>
      <c r="B211" s="3">
        <v>44114</v>
      </c>
      <c r="C211" s="1" t="s">
        <v>2</v>
      </c>
      <c r="D211" s="1" t="s">
        <v>1</v>
      </c>
      <c r="E211" s="1" t="s">
        <v>3</v>
      </c>
      <c r="F211" s="1" t="s">
        <v>26</v>
      </c>
      <c r="G211" s="1" t="s">
        <v>34</v>
      </c>
      <c r="H211" s="1">
        <v>2020</v>
      </c>
      <c r="I211" s="1" t="s">
        <v>35</v>
      </c>
      <c r="J211" s="6">
        <v>9127</v>
      </c>
    </row>
    <row r="212" spans="1:10">
      <c r="A212" s="5">
        <v>209</v>
      </c>
      <c r="B212" s="3">
        <v>44116</v>
      </c>
      <c r="C212" s="1" t="s">
        <v>8</v>
      </c>
      <c r="D212" s="1" t="s">
        <v>4</v>
      </c>
      <c r="E212" s="1" t="s">
        <v>6</v>
      </c>
      <c r="F212" s="1" t="s">
        <v>26</v>
      </c>
      <c r="G212" s="1" t="s">
        <v>34</v>
      </c>
      <c r="H212" s="1">
        <v>2020</v>
      </c>
      <c r="I212" s="1" t="s">
        <v>35</v>
      </c>
      <c r="J212" s="6">
        <v>1777</v>
      </c>
    </row>
    <row r="213" spans="1:10">
      <c r="A213" s="5">
        <v>210</v>
      </c>
      <c r="B213" s="3">
        <v>44116</v>
      </c>
      <c r="C213" s="1" t="s">
        <v>7</v>
      </c>
      <c r="D213" s="1" t="s">
        <v>1</v>
      </c>
      <c r="E213" s="1" t="s">
        <v>6</v>
      </c>
      <c r="F213" s="1" t="s">
        <v>26</v>
      </c>
      <c r="G213" s="1" t="s">
        <v>34</v>
      </c>
      <c r="H213" s="1">
        <v>2020</v>
      </c>
      <c r="I213" s="1" t="s">
        <v>35</v>
      </c>
      <c r="J213" s="6">
        <v>680</v>
      </c>
    </row>
    <row r="214" spans="1:10">
      <c r="A214" s="5">
        <v>211</v>
      </c>
      <c r="B214" s="3">
        <v>44118</v>
      </c>
      <c r="C214" s="1" t="s">
        <v>5</v>
      </c>
      <c r="D214" s="1" t="s">
        <v>4</v>
      </c>
      <c r="E214" s="1" t="s">
        <v>3</v>
      </c>
      <c r="F214" s="1" t="s">
        <v>26</v>
      </c>
      <c r="G214" s="1" t="s">
        <v>34</v>
      </c>
      <c r="H214" s="1">
        <v>2020</v>
      </c>
      <c r="I214" s="1" t="s">
        <v>35</v>
      </c>
      <c r="J214" s="6">
        <v>958</v>
      </c>
    </row>
    <row r="215" spans="1:10">
      <c r="A215" s="5">
        <v>212</v>
      </c>
      <c r="B215" s="3">
        <v>44119</v>
      </c>
      <c r="C215" s="1" t="s">
        <v>2</v>
      </c>
      <c r="D215" s="1" t="s">
        <v>1</v>
      </c>
      <c r="E215" s="1" t="s">
        <v>0</v>
      </c>
      <c r="F215" s="1" t="s">
        <v>26</v>
      </c>
      <c r="G215" s="1" t="s">
        <v>34</v>
      </c>
      <c r="H215" s="1">
        <v>2020</v>
      </c>
      <c r="I215" s="1" t="s">
        <v>35</v>
      </c>
      <c r="J215" s="6">
        <v>2613</v>
      </c>
    </row>
    <row r="216" spans="1:10">
      <c r="A216" s="11">
        <v>213</v>
      </c>
      <c r="B216" s="12">
        <v>44122</v>
      </c>
      <c r="C216" s="13" t="s">
        <v>2</v>
      </c>
      <c r="D216" s="13" t="s">
        <v>1</v>
      </c>
      <c r="E216" s="13" t="s">
        <v>0</v>
      </c>
      <c r="F216" s="13" t="s">
        <v>30</v>
      </c>
      <c r="G216" s="13" t="s">
        <v>34</v>
      </c>
      <c r="H216" s="13">
        <v>2020</v>
      </c>
      <c r="I216" s="13" t="s">
        <v>35</v>
      </c>
      <c r="J216" s="14">
        <v>339</v>
      </c>
    </row>
    <row r="217" spans="1:10">
      <c r="A217" s="11">
        <v>214</v>
      </c>
      <c r="B217" s="12">
        <v>44123</v>
      </c>
      <c r="C217" s="13" t="s">
        <v>13</v>
      </c>
      <c r="D217" s="13" t="s">
        <v>4</v>
      </c>
      <c r="E217" s="13" t="s">
        <v>84</v>
      </c>
      <c r="F217" s="13" t="s">
        <v>30</v>
      </c>
      <c r="G217" s="13" t="s">
        <v>34</v>
      </c>
      <c r="H217" s="13">
        <v>2019</v>
      </c>
      <c r="I217" s="13" t="s">
        <v>39</v>
      </c>
      <c r="J217" s="14">
        <v>5000</v>
      </c>
    </row>
    <row r="219" spans="1:10">
      <c r="D219" t="s">
        <v>51</v>
      </c>
    </row>
  </sheetData>
  <mergeCells count="1">
    <mergeCell ref="A1:J1"/>
  </mergeCells>
  <pageMargins left="0.7" right="0.7" top="0.75" bottom="0.75" header="0.3" footer="0.3"/>
  <pageSetup scale="90" orientation="portrait" r:id="rId1"/>
  <headerFooter>
    <oddHeader>&amp;L&amp;"-,Bold Italic"&amp;K08-045Atlas&amp;C&amp;N&amp;R&amp;T</oddHeader>
    <oddFooter>&amp;L&amp;"-,Bold Italic"&amp;14ahmed&amp;C&amp;P&amp;R&amp;T</oddFooter>
  </headerFooter>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99991B-F357-4FF9-BCD0-B53C0DFE4E2C}">
  <dimension ref="A1:J217"/>
  <sheetViews>
    <sheetView workbookViewId="0"/>
  </sheetViews>
  <sheetFormatPr defaultRowHeight="14.4"/>
  <cols>
    <col min="1" max="1" width="15.5546875" bestFit="1" customWidth="1"/>
    <col min="2" max="2" width="12.33203125" bestFit="1" customWidth="1"/>
    <col min="3" max="3" width="15.109375" bestFit="1" customWidth="1"/>
    <col min="4" max="4" width="16.109375" bestFit="1" customWidth="1"/>
    <col min="5" max="5" width="15.33203125" bestFit="1" customWidth="1"/>
    <col min="6" max="7" width="14.21875" bestFit="1" customWidth="1"/>
    <col min="8" max="8" width="12.109375" bestFit="1" customWidth="1"/>
    <col min="9" max="9" width="14.88671875" bestFit="1" customWidth="1"/>
    <col min="10" max="10" width="15.44140625" bestFit="1" customWidth="1"/>
  </cols>
  <sheetData>
    <row r="1" spans="1:10">
      <c r="A1" t="s">
        <v>118</v>
      </c>
    </row>
    <row r="3" spans="1:10">
      <c r="A3" t="s">
        <v>108</v>
      </c>
      <c r="B3" t="s">
        <v>109</v>
      </c>
      <c r="C3" t="s">
        <v>110</v>
      </c>
      <c r="D3" t="s">
        <v>111</v>
      </c>
      <c r="E3" t="s">
        <v>112</v>
      </c>
      <c r="F3" t="s">
        <v>113</v>
      </c>
      <c r="G3" t="s">
        <v>114</v>
      </c>
      <c r="H3" t="s">
        <v>115</v>
      </c>
      <c r="I3" t="s">
        <v>116</v>
      </c>
      <c r="J3" t="s">
        <v>117</v>
      </c>
    </row>
    <row r="4" spans="1:10">
      <c r="A4">
        <v>1</v>
      </c>
      <c r="B4" s="15">
        <v>43661</v>
      </c>
      <c r="C4" t="s">
        <v>2</v>
      </c>
      <c r="D4" t="s">
        <v>1</v>
      </c>
      <c r="E4" t="s">
        <v>3</v>
      </c>
      <c r="F4" t="s">
        <v>26</v>
      </c>
      <c r="G4" t="s">
        <v>27</v>
      </c>
      <c r="H4">
        <v>2019</v>
      </c>
      <c r="I4" t="s">
        <v>28</v>
      </c>
      <c r="J4">
        <v>4270</v>
      </c>
    </row>
    <row r="5" spans="1:10">
      <c r="A5">
        <v>2</v>
      </c>
      <c r="B5" s="15">
        <v>43665</v>
      </c>
      <c r="C5" t="s">
        <v>14</v>
      </c>
      <c r="D5" t="s">
        <v>1</v>
      </c>
      <c r="E5" t="s">
        <v>12</v>
      </c>
      <c r="F5" t="s">
        <v>29</v>
      </c>
      <c r="G5" t="s">
        <v>27</v>
      </c>
      <c r="H5">
        <v>2019</v>
      </c>
      <c r="I5" t="s">
        <v>28</v>
      </c>
      <c r="J5">
        <v>8239</v>
      </c>
    </row>
    <row r="6" spans="1:10">
      <c r="A6">
        <v>3</v>
      </c>
      <c r="B6" s="15">
        <v>43672</v>
      </c>
      <c r="C6" t="s">
        <v>13</v>
      </c>
      <c r="D6" t="s">
        <v>4</v>
      </c>
      <c r="E6" t="s">
        <v>3</v>
      </c>
      <c r="F6" t="s">
        <v>29</v>
      </c>
      <c r="G6" t="s">
        <v>27</v>
      </c>
      <c r="H6">
        <v>2019</v>
      </c>
      <c r="I6" t="s">
        <v>28</v>
      </c>
      <c r="J6">
        <v>617</v>
      </c>
    </row>
    <row r="7" spans="1:10">
      <c r="A7">
        <v>4</v>
      </c>
      <c r="B7" s="15">
        <v>43688</v>
      </c>
      <c r="C7" t="s">
        <v>13</v>
      </c>
      <c r="D7" t="s">
        <v>4</v>
      </c>
      <c r="E7" t="s">
        <v>11</v>
      </c>
      <c r="F7" t="s">
        <v>30</v>
      </c>
      <c r="G7" t="s">
        <v>31</v>
      </c>
      <c r="H7">
        <v>2019</v>
      </c>
      <c r="I7" t="s">
        <v>28</v>
      </c>
      <c r="J7">
        <v>8384</v>
      </c>
    </row>
    <row r="8" spans="1:10">
      <c r="A8">
        <v>5</v>
      </c>
      <c r="B8" s="15">
        <v>43692</v>
      </c>
      <c r="C8" t="s">
        <v>7</v>
      </c>
      <c r="D8" t="s">
        <v>1</v>
      </c>
      <c r="E8" t="s">
        <v>9</v>
      </c>
      <c r="F8" t="s">
        <v>32</v>
      </c>
      <c r="G8" t="s">
        <v>31</v>
      </c>
      <c r="H8">
        <v>2019</v>
      </c>
      <c r="I8" t="s">
        <v>28</v>
      </c>
      <c r="J8">
        <v>2626</v>
      </c>
    </row>
    <row r="9" spans="1:10">
      <c r="A9">
        <v>6</v>
      </c>
      <c r="B9" s="15">
        <v>43699</v>
      </c>
      <c r="C9" t="s">
        <v>5</v>
      </c>
      <c r="D9" t="s">
        <v>4</v>
      </c>
      <c r="E9" t="s">
        <v>3</v>
      </c>
      <c r="F9" t="s">
        <v>26</v>
      </c>
      <c r="G9" t="s">
        <v>31</v>
      </c>
      <c r="H9">
        <v>2019</v>
      </c>
      <c r="I9" t="s">
        <v>28</v>
      </c>
      <c r="J9">
        <v>3610</v>
      </c>
    </row>
    <row r="10" spans="1:10">
      <c r="A10">
        <v>7</v>
      </c>
      <c r="B10" s="15">
        <v>43701</v>
      </c>
      <c r="C10" t="s">
        <v>14</v>
      </c>
      <c r="D10" t="s">
        <v>1</v>
      </c>
      <c r="E10" t="s">
        <v>0</v>
      </c>
      <c r="F10" t="s">
        <v>26</v>
      </c>
      <c r="G10" t="s">
        <v>31</v>
      </c>
      <c r="H10">
        <v>2019</v>
      </c>
      <c r="I10" t="s">
        <v>28</v>
      </c>
      <c r="J10">
        <v>9062</v>
      </c>
    </row>
    <row r="11" spans="1:10">
      <c r="A11">
        <v>8</v>
      </c>
      <c r="B11" s="15">
        <v>43723</v>
      </c>
      <c r="C11" t="s">
        <v>13</v>
      </c>
      <c r="D11" t="s">
        <v>4</v>
      </c>
      <c r="E11" t="s">
        <v>10</v>
      </c>
      <c r="F11" t="s">
        <v>29</v>
      </c>
      <c r="G11" t="s">
        <v>33</v>
      </c>
      <c r="H11">
        <v>2019</v>
      </c>
      <c r="I11" t="s">
        <v>28</v>
      </c>
      <c r="J11">
        <v>6906</v>
      </c>
    </row>
    <row r="12" spans="1:10">
      <c r="A12">
        <v>9</v>
      </c>
      <c r="B12" s="15">
        <v>43725</v>
      </c>
      <c r="C12" t="s">
        <v>8</v>
      </c>
      <c r="D12" t="s">
        <v>4</v>
      </c>
      <c r="E12" t="s">
        <v>6</v>
      </c>
      <c r="F12" t="s">
        <v>32</v>
      </c>
      <c r="G12" t="s">
        <v>33</v>
      </c>
      <c r="H12">
        <v>2019</v>
      </c>
      <c r="I12" t="s">
        <v>28</v>
      </c>
      <c r="J12">
        <v>2417</v>
      </c>
    </row>
    <row r="13" spans="1:10">
      <c r="A13">
        <v>10</v>
      </c>
      <c r="B13" s="15">
        <v>43754</v>
      </c>
      <c r="C13" t="s">
        <v>8</v>
      </c>
      <c r="D13" t="s">
        <v>4</v>
      </c>
      <c r="E13" t="s">
        <v>11</v>
      </c>
      <c r="F13" t="s">
        <v>26</v>
      </c>
      <c r="G13" t="s">
        <v>34</v>
      </c>
      <c r="H13">
        <v>2019</v>
      </c>
      <c r="I13" t="s">
        <v>35</v>
      </c>
      <c r="J13">
        <v>7431</v>
      </c>
    </row>
    <row r="14" spans="1:10">
      <c r="A14">
        <v>11</v>
      </c>
      <c r="B14" s="15">
        <v>43763</v>
      </c>
      <c r="C14" t="s">
        <v>13</v>
      </c>
      <c r="D14" t="s">
        <v>4</v>
      </c>
      <c r="E14" t="s">
        <v>9</v>
      </c>
      <c r="F14" t="s">
        <v>29</v>
      </c>
      <c r="G14" t="s">
        <v>34</v>
      </c>
      <c r="H14">
        <v>2019</v>
      </c>
      <c r="I14" t="s">
        <v>35</v>
      </c>
      <c r="J14">
        <v>8250</v>
      </c>
    </row>
    <row r="15" spans="1:10">
      <c r="A15">
        <v>12</v>
      </c>
      <c r="B15" s="15">
        <v>43774</v>
      </c>
      <c r="C15" t="s">
        <v>14</v>
      </c>
      <c r="D15" t="s">
        <v>1</v>
      </c>
      <c r="E15" t="s">
        <v>3</v>
      </c>
      <c r="F15" t="s">
        <v>26</v>
      </c>
      <c r="G15" t="s">
        <v>36</v>
      </c>
      <c r="H15">
        <v>2019</v>
      </c>
      <c r="I15" t="s">
        <v>35</v>
      </c>
      <c r="J15">
        <v>7012</v>
      </c>
    </row>
    <row r="16" spans="1:10">
      <c r="A16">
        <v>13</v>
      </c>
      <c r="B16" s="15">
        <v>43788</v>
      </c>
      <c r="C16" t="s">
        <v>2</v>
      </c>
      <c r="D16" t="s">
        <v>1</v>
      </c>
      <c r="E16" t="s">
        <v>9</v>
      </c>
      <c r="F16" t="s">
        <v>29</v>
      </c>
      <c r="G16" t="s">
        <v>36</v>
      </c>
      <c r="H16">
        <v>2019</v>
      </c>
      <c r="I16" t="s">
        <v>35</v>
      </c>
      <c r="J16">
        <v>1903</v>
      </c>
    </row>
    <row r="17" spans="1:10">
      <c r="A17">
        <v>14</v>
      </c>
      <c r="B17" s="15">
        <v>43796</v>
      </c>
      <c r="C17" t="s">
        <v>14</v>
      </c>
      <c r="D17" t="s">
        <v>1</v>
      </c>
      <c r="E17" t="s">
        <v>11</v>
      </c>
      <c r="F17" t="s">
        <v>32</v>
      </c>
      <c r="G17" t="s">
        <v>36</v>
      </c>
      <c r="H17">
        <v>2019</v>
      </c>
      <c r="I17" t="s">
        <v>35</v>
      </c>
      <c r="J17">
        <v>2824</v>
      </c>
    </row>
    <row r="18" spans="1:10">
      <c r="A18">
        <v>15</v>
      </c>
      <c r="B18" s="15">
        <v>43794</v>
      </c>
      <c r="C18" t="s">
        <v>8</v>
      </c>
      <c r="D18" t="s">
        <v>4</v>
      </c>
      <c r="E18" t="s">
        <v>6</v>
      </c>
      <c r="F18" t="s">
        <v>26</v>
      </c>
      <c r="G18" t="s">
        <v>36</v>
      </c>
      <c r="H18">
        <v>2019</v>
      </c>
      <c r="I18" t="s">
        <v>35</v>
      </c>
      <c r="J18">
        <v>6946</v>
      </c>
    </row>
    <row r="19" spans="1:10">
      <c r="A19">
        <v>16</v>
      </c>
      <c r="B19" s="15">
        <v>43798</v>
      </c>
      <c r="C19" t="s">
        <v>13</v>
      </c>
      <c r="D19" t="s">
        <v>4</v>
      </c>
      <c r="E19" t="s">
        <v>12</v>
      </c>
      <c r="F19" t="s">
        <v>30</v>
      </c>
      <c r="G19" t="s">
        <v>36</v>
      </c>
      <c r="H19">
        <v>2019</v>
      </c>
      <c r="I19" t="s">
        <v>35</v>
      </c>
      <c r="J19">
        <v>2320</v>
      </c>
    </row>
    <row r="20" spans="1:10">
      <c r="A20">
        <v>17</v>
      </c>
      <c r="B20" s="15">
        <v>43824</v>
      </c>
      <c r="C20" t="s">
        <v>13</v>
      </c>
      <c r="D20" t="s">
        <v>4</v>
      </c>
      <c r="E20" t="s">
        <v>3</v>
      </c>
      <c r="F20" t="s">
        <v>30</v>
      </c>
      <c r="G20" t="s">
        <v>37</v>
      </c>
      <c r="H20">
        <v>2019</v>
      </c>
      <c r="I20" t="s">
        <v>35</v>
      </c>
      <c r="J20">
        <v>2116</v>
      </c>
    </row>
    <row r="21" spans="1:10">
      <c r="A21">
        <v>18</v>
      </c>
      <c r="B21" s="15">
        <v>43826</v>
      </c>
      <c r="C21" t="s">
        <v>13</v>
      </c>
      <c r="D21" t="s">
        <v>4</v>
      </c>
      <c r="E21" t="s">
        <v>12</v>
      </c>
      <c r="F21" t="s">
        <v>30</v>
      </c>
      <c r="G21" t="s">
        <v>37</v>
      </c>
      <c r="H21">
        <v>2019</v>
      </c>
      <c r="I21" t="s">
        <v>35</v>
      </c>
      <c r="J21">
        <v>1135</v>
      </c>
    </row>
    <row r="22" spans="1:10">
      <c r="A22">
        <v>19</v>
      </c>
      <c r="B22" s="15">
        <v>43829</v>
      </c>
      <c r="C22" t="s">
        <v>14</v>
      </c>
      <c r="D22" t="s">
        <v>1</v>
      </c>
      <c r="E22" t="s">
        <v>12</v>
      </c>
      <c r="F22" t="s">
        <v>29</v>
      </c>
      <c r="G22" t="s">
        <v>37</v>
      </c>
      <c r="H22">
        <v>2019</v>
      </c>
      <c r="I22" t="s">
        <v>35</v>
      </c>
      <c r="J22">
        <v>3595</v>
      </c>
    </row>
    <row r="23" spans="1:10">
      <c r="A23">
        <v>20</v>
      </c>
      <c r="B23" s="15">
        <v>43845</v>
      </c>
      <c r="C23" t="s">
        <v>8</v>
      </c>
      <c r="D23" t="s">
        <v>4</v>
      </c>
      <c r="E23" t="s">
        <v>3</v>
      </c>
      <c r="F23" t="s">
        <v>26</v>
      </c>
      <c r="G23" t="s">
        <v>38</v>
      </c>
      <c r="H23">
        <v>2020</v>
      </c>
      <c r="I23" t="s">
        <v>39</v>
      </c>
      <c r="J23">
        <v>1161</v>
      </c>
    </row>
    <row r="24" spans="1:10">
      <c r="A24">
        <v>21</v>
      </c>
      <c r="B24" s="15">
        <v>43855</v>
      </c>
      <c r="C24" t="s">
        <v>5</v>
      </c>
      <c r="D24" t="s">
        <v>4</v>
      </c>
      <c r="E24" t="s">
        <v>6</v>
      </c>
      <c r="F24" t="s">
        <v>30</v>
      </c>
      <c r="G24" t="s">
        <v>38</v>
      </c>
      <c r="H24">
        <v>2020</v>
      </c>
      <c r="I24" t="s">
        <v>39</v>
      </c>
      <c r="J24">
        <v>2256</v>
      </c>
    </row>
    <row r="25" spans="1:10">
      <c r="A25">
        <v>22</v>
      </c>
      <c r="B25" s="15">
        <v>43859</v>
      </c>
      <c r="C25" t="s">
        <v>13</v>
      </c>
      <c r="D25" t="s">
        <v>4</v>
      </c>
      <c r="E25" t="s">
        <v>10</v>
      </c>
      <c r="F25" t="s">
        <v>26</v>
      </c>
      <c r="G25" t="s">
        <v>38</v>
      </c>
      <c r="H25">
        <v>2020</v>
      </c>
      <c r="I25" t="s">
        <v>39</v>
      </c>
      <c r="J25">
        <v>1004</v>
      </c>
    </row>
    <row r="26" spans="1:10">
      <c r="A26">
        <v>23</v>
      </c>
      <c r="B26" s="15">
        <v>43831</v>
      </c>
      <c r="C26" t="s">
        <v>13</v>
      </c>
      <c r="D26" t="s">
        <v>4</v>
      </c>
      <c r="E26" t="s">
        <v>11</v>
      </c>
      <c r="F26" t="s">
        <v>29</v>
      </c>
      <c r="G26" t="s">
        <v>38</v>
      </c>
      <c r="H26">
        <v>2020</v>
      </c>
      <c r="I26" t="s">
        <v>39</v>
      </c>
      <c r="J26">
        <v>3642</v>
      </c>
    </row>
    <row r="27" spans="1:10">
      <c r="A27">
        <v>24</v>
      </c>
      <c r="B27" s="15">
        <v>43832</v>
      </c>
      <c r="C27" t="s">
        <v>13</v>
      </c>
      <c r="D27" t="s">
        <v>4</v>
      </c>
      <c r="E27" t="s">
        <v>3</v>
      </c>
      <c r="F27" t="s">
        <v>26</v>
      </c>
      <c r="G27" t="s">
        <v>38</v>
      </c>
      <c r="H27">
        <v>2020</v>
      </c>
      <c r="I27" t="s">
        <v>39</v>
      </c>
      <c r="J27">
        <v>4582</v>
      </c>
    </row>
    <row r="28" spans="1:10">
      <c r="A28">
        <v>25</v>
      </c>
      <c r="B28" s="15">
        <v>43832</v>
      </c>
      <c r="C28" t="s">
        <v>7</v>
      </c>
      <c r="D28" t="s">
        <v>1</v>
      </c>
      <c r="E28" t="s">
        <v>12</v>
      </c>
      <c r="F28" t="s">
        <v>29</v>
      </c>
      <c r="G28" t="s">
        <v>38</v>
      </c>
      <c r="H28">
        <v>2020</v>
      </c>
      <c r="I28" t="s">
        <v>39</v>
      </c>
      <c r="J28">
        <v>3559</v>
      </c>
    </row>
    <row r="29" spans="1:10">
      <c r="A29">
        <v>26</v>
      </c>
      <c r="B29" s="15">
        <v>43832</v>
      </c>
      <c r="C29" t="s">
        <v>2</v>
      </c>
      <c r="D29" t="s">
        <v>1</v>
      </c>
      <c r="E29" t="s">
        <v>0</v>
      </c>
      <c r="F29" t="s">
        <v>26</v>
      </c>
      <c r="G29" t="s">
        <v>38</v>
      </c>
      <c r="H29">
        <v>2020</v>
      </c>
      <c r="I29" t="s">
        <v>39</v>
      </c>
      <c r="J29">
        <v>5154</v>
      </c>
    </row>
    <row r="30" spans="1:10">
      <c r="A30">
        <v>27</v>
      </c>
      <c r="B30" s="15">
        <v>43833</v>
      </c>
      <c r="C30" t="s">
        <v>15</v>
      </c>
      <c r="D30" t="s">
        <v>4</v>
      </c>
      <c r="E30" t="s">
        <v>6</v>
      </c>
      <c r="F30" t="s">
        <v>26</v>
      </c>
      <c r="G30" t="s">
        <v>38</v>
      </c>
      <c r="H30">
        <v>2020</v>
      </c>
      <c r="I30" t="s">
        <v>39</v>
      </c>
      <c r="J30">
        <v>7388</v>
      </c>
    </row>
    <row r="31" spans="1:10">
      <c r="A31">
        <v>28</v>
      </c>
      <c r="B31" s="15">
        <v>43839</v>
      </c>
      <c r="C31" t="s">
        <v>7</v>
      </c>
      <c r="D31" t="s">
        <v>1</v>
      </c>
      <c r="E31" t="s">
        <v>3</v>
      </c>
      <c r="F31" t="s">
        <v>30</v>
      </c>
      <c r="G31" t="s">
        <v>38</v>
      </c>
      <c r="H31">
        <v>2020</v>
      </c>
      <c r="I31" t="s">
        <v>39</v>
      </c>
      <c r="J31">
        <v>7163</v>
      </c>
    </row>
    <row r="32" spans="1:10">
      <c r="A32">
        <v>29</v>
      </c>
      <c r="B32" s="15">
        <v>43839</v>
      </c>
      <c r="C32" t="s">
        <v>7</v>
      </c>
      <c r="D32" t="s">
        <v>1</v>
      </c>
      <c r="E32" t="s">
        <v>9</v>
      </c>
      <c r="F32" t="s">
        <v>26</v>
      </c>
      <c r="G32" t="s">
        <v>38</v>
      </c>
      <c r="H32">
        <v>2020</v>
      </c>
      <c r="I32" t="s">
        <v>39</v>
      </c>
      <c r="J32">
        <v>5101</v>
      </c>
    </row>
    <row r="33" spans="1:10">
      <c r="A33">
        <v>30</v>
      </c>
      <c r="B33" s="15">
        <v>43841</v>
      </c>
      <c r="C33" t="s">
        <v>8</v>
      </c>
      <c r="D33" t="s">
        <v>4</v>
      </c>
      <c r="E33" t="s">
        <v>6</v>
      </c>
      <c r="F33" t="s">
        <v>29</v>
      </c>
      <c r="G33" t="s">
        <v>38</v>
      </c>
      <c r="H33">
        <v>2020</v>
      </c>
      <c r="I33" t="s">
        <v>39</v>
      </c>
      <c r="J33">
        <v>7602</v>
      </c>
    </row>
    <row r="34" spans="1:10">
      <c r="A34">
        <v>31</v>
      </c>
      <c r="B34" s="15">
        <v>43841</v>
      </c>
      <c r="C34" t="s">
        <v>15</v>
      </c>
      <c r="D34" t="s">
        <v>4</v>
      </c>
      <c r="E34" t="s">
        <v>3</v>
      </c>
      <c r="F34" t="s">
        <v>26</v>
      </c>
      <c r="G34" t="s">
        <v>38</v>
      </c>
      <c r="H34">
        <v>2020</v>
      </c>
      <c r="I34" t="s">
        <v>39</v>
      </c>
      <c r="J34">
        <v>1641</v>
      </c>
    </row>
    <row r="35" spans="1:10">
      <c r="A35">
        <v>32</v>
      </c>
      <c r="B35" s="15">
        <v>43842</v>
      </c>
      <c r="C35" t="s">
        <v>8</v>
      </c>
      <c r="D35" t="s">
        <v>4</v>
      </c>
      <c r="E35" t="s">
        <v>0</v>
      </c>
      <c r="F35" t="s">
        <v>32</v>
      </c>
      <c r="G35" t="s">
        <v>38</v>
      </c>
      <c r="H35">
        <v>2020</v>
      </c>
      <c r="I35" t="s">
        <v>39</v>
      </c>
      <c r="J35">
        <v>8892</v>
      </c>
    </row>
    <row r="36" spans="1:10">
      <c r="A36">
        <v>33</v>
      </c>
      <c r="B36" s="15">
        <v>43842</v>
      </c>
      <c r="C36" t="s">
        <v>8</v>
      </c>
      <c r="D36" t="s">
        <v>4</v>
      </c>
      <c r="E36" t="s">
        <v>6</v>
      </c>
      <c r="F36" t="s">
        <v>32</v>
      </c>
      <c r="G36" t="s">
        <v>38</v>
      </c>
      <c r="H36">
        <v>2020</v>
      </c>
      <c r="I36" t="s">
        <v>39</v>
      </c>
      <c r="J36">
        <v>2060</v>
      </c>
    </row>
    <row r="37" spans="1:10">
      <c r="A37">
        <v>34</v>
      </c>
      <c r="B37" s="15">
        <v>43843</v>
      </c>
      <c r="C37" t="s">
        <v>14</v>
      </c>
      <c r="D37" t="s">
        <v>1</v>
      </c>
      <c r="E37" t="s">
        <v>9</v>
      </c>
      <c r="F37" t="s">
        <v>26</v>
      </c>
      <c r="G37" t="s">
        <v>38</v>
      </c>
      <c r="H37">
        <v>2020</v>
      </c>
      <c r="I37" t="s">
        <v>39</v>
      </c>
      <c r="J37">
        <v>1557</v>
      </c>
    </row>
    <row r="38" spans="1:10">
      <c r="A38">
        <v>35</v>
      </c>
      <c r="B38" s="15">
        <v>43843</v>
      </c>
      <c r="C38" t="s">
        <v>8</v>
      </c>
      <c r="D38" t="s">
        <v>4</v>
      </c>
      <c r="E38" t="s">
        <v>6</v>
      </c>
      <c r="F38" t="s">
        <v>29</v>
      </c>
      <c r="G38" t="s">
        <v>38</v>
      </c>
      <c r="H38">
        <v>2020</v>
      </c>
      <c r="I38" t="s">
        <v>39</v>
      </c>
      <c r="J38">
        <v>6509</v>
      </c>
    </row>
    <row r="39" spans="1:10">
      <c r="A39">
        <v>36</v>
      </c>
      <c r="B39" s="15">
        <v>43846</v>
      </c>
      <c r="C39" t="s">
        <v>8</v>
      </c>
      <c r="D39" t="s">
        <v>4</v>
      </c>
      <c r="E39" t="s">
        <v>0</v>
      </c>
      <c r="F39" t="s">
        <v>30</v>
      </c>
      <c r="G39" t="s">
        <v>38</v>
      </c>
      <c r="H39">
        <v>2020</v>
      </c>
      <c r="I39" t="s">
        <v>39</v>
      </c>
      <c r="J39">
        <v>5718</v>
      </c>
    </row>
    <row r="40" spans="1:10">
      <c r="A40">
        <v>37</v>
      </c>
      <c r="B40" s="15">
        <v>43846</v>
      </c>
      <c r="C40" t="s">
        <v>8</v>
      </c>
      <c r="D40" t="s">
        <v>4</v>
      </c>
      <c r="E40" t="s">
        <v>3</v>
      </c>
      <c r="F40" t="s">
        <v>30</v>
      </c>
      <c r="G40" t="s">
        <v>38</v>
      </c>
      <c r="H40">
        <v>2020</v>
      </c>
      <c r="I40" t="s">
        <v>39</v>
      </c>
      <c r="J40">
        <v>7655</v>
      </c>
    </row>
    <row r="41" spans="1:10">
      <c r="A41">
        <v>38</v>
      </c>
      <c r="B41" s="15">
        <v>43846</v>
      </c>
      <c r="C41" t="s">
        <v>2</v>
      </c>
      <c r="D41" t="s">
        <v>1</v>
      </c>
      <c r="E41" t="s">
        <v>12</v>
      </c>
      <c r="F41" t="s">
        <v>30</v>
      </c>
      <c r="G41" t="s">
        <v>38</v>
      </c>
      <c r="H41">
        <v>2020</v>
      </c>
      <c r="I41" t="s">
        <v>39</v>
      </c>
      <c r="J41">
        <v>9116</v>
      </c>
    </row>
    <row r="42" spans="1:10">
      <c r="A42">
        <v>39</v>
      </c>
      <c r="B42" s="15">
        <v>43846</v>
      </c>
      <c r="C42" t="s">
        <v>13</v>
      </c>
      <c r="D42" t="s">
        <v>4</v>
      </c>
      <c r="E42" t="s">
        <v>3</v>
      </c>
      <c r="F42" t="s">
        <v>26</v>
      </c>
      <c r="G42" t="s">
        <v>38</v>
      </c>
      <c r="H42">
        <v>2020</v>
      </c>
      <c r="I42" t="s">
        <v>39</v>
      </c>
      <c r="J42">
        <v>2795</v>
      </c>
    </row>
    <row r="43" spans="1:10">
      <c r="A43">
        <v>40</v>
      </c>
      <c r="B43" s="15">
        <v>43847</v>
      </c>
      <c r="C43" t="s">
        <v>13</v>
      </c>
      <c r="D43" t="s">
        <v>4</v>
      </c>
      <c r="E43" t="s">
        <v>3</v>
      </c>
      <c r="F43" t="s">
        <v>29</v>
      </c>
      <c r="G43" t="s">
        <v>38</v>
      </c>
      <c r="H43">
        <v>2020</v>
      </c>
      <c r="I43" t="s">
        <v>39</v>
      </c>
      <c r="J43">
        <v>5084</v>
      </c>
    </row>
    <row r="44" spans="1:10">
      <c r="A44">
        <v>41</v>
      </c>
      <c r="B44" s="15">
        <v>43853</v>
      </c>
      <c r="C44" t="s">
        <v>2</v>
      </c>
      <c r="D44" t="s">
        <v>1</v>
      </c>
      <c r="E44" t="s">
        <v>12</v>
      </c>
      <c r="F44" t="s">
        <v>32</v>
      </c>
      <c r="G44" t="s">
        <v>38</v>
      </c>
      <c r="H44">
        <v>2020</v>
      </c>
      <c r="I44" t="s">
        <v>39</v>
      </c>
      <c r="J44">
        <v>8941</v>
      </c>
    </row>
    <row r="45" spans="1:10">
      <c r="A45">
        <v>42</v>
      </c>
      <c r="B45" s="15">
        <v>43854</v>
      </c>
      <c r="C45" t="s">
        <v>14</v>
      </c>
      <c r="D45" t="s">
        <v>1</v>
      </c>
      <c r="E45" t="s">
        <v>6</v>
      </c>
      <c r="F45" t="s">
        <v>26</v>
      </c>
      <c r="G45" t="s">
        <v>38</v>
      </c>
      <c r="H45">
        <v>2020</v>
      </c>
      <c r="I45" t="s">
        <v>39</v>
      </c>
      <c r="J45">
        <v>5341</v>
      </c>
    </row>
    <row r="46" spans="1:10">
      <c r="A46">
        <v>43</v>
      </c>
      <c r="B46" s="15">
        <v>43856</v>
      </c>
      <c r="C46" t="s">
        <v>13</v>
      </c>
      <c r="D46" t="s">
        <v>4</v>
      </c>
      <c r="E46" t="s">
        <v>11</v>
      </c>
      <c r="F46" t="s">
        <v>30</v>
      </c>
      <c r="G46" t="s">
        <v>38</v>
      </c>
      <c r="H46">
        <v>2020</v>
      </c>
      <c r="I46" t="s">
        <v>39</v>
      </c>
      <c r="J46">
        <v>135</v>
      </c>
    </row>
    <row r="47" spans="1:10">
      <c r="A47">
        <v>44</v>
      </c>
      <c r="B47" s="15">
        <v>43856</v>
      </c>
      <c r="C47" t="s">
        <v>13</v>
      </c>
      <c r="D47" t="s">
        <v>4</v>
      </c>
      <c r="E47" t="s">
        <v>0</v>
      </c>
      <c r="F47" t="s">
        <v>26</v>
      </c>
      <c r="G47" t="s">
        <v>38</v>
      </c>
      <c r="H47">
        <v>2020</v>
      </c>
      <c r="I47" t="s">
        <v>39</v>
      </c>
      <c r="J47">
        <v>9400</v>
      </c>
    </row>
    <row r="48" spans="1:10">
      <c r="A48">
        <v>45</v>
      </c>
      <c r="B48" s="15">
        <v>43858</v>
      </c>
      <c r="C48" t="s">
        <v>7</v>
      </c>
      <c r="D48" t="s">
        <v>1</v>
      </c>
      <c r="E48" t="s">
        <v>9</v>
      </c>
      <c r="F48" t="s">
        <v>29</v>
      </c>
      <c r="G48" t="s">
        <v>38</v>
      </c>
      <c r="H48">
        <v>2020</v>
      </c>
      <c r="I48" t="s">
        <v>39</v>
      </c>
      <c r="J48">
        <v>6045</v>
      </c>
    </row>
    <row r="49" spans="1:10">
      <c r="A49">
        <v>46</v>
      </c>
      <c r="B49" s="15">
        <v>43862</v>
      </c>
      <c r="C49" t="s">
        <v>8</v>
      </c>
      <c r="D49" t="s">
        <v>4</v>
      </c>
      <c r="E49" t="s">
        <v>10</v>
      </c>
      <c r="F49" t="s">
        <v>32</v>
      </c>
      <c r="G49" t="s">
        <v>40</v>
      </c>
      <c r="H49">
        <v>2020</v>
      </c>
      <c r="I49" t="s">
        <v>39</v>
      </c>
      <c r="J49">
        <v>5820</v>
      </c>
    </row>
    <row r="50" spans="1:10">
      <c r="A50">
        <v>47</v>
      </c>
      <c r="B50" s="15">
        <v>43863</v>
      </c>
      <c r="C50" t="s">
        <v>5</v>
      </c>
      <c r="D50" t="s">
        <v>4</v>
      </c>
      <c r="E50" t="s">
        <v>9</v>
      </c>
      <c r="F50" t="s">
        <v>26</v>
      </c>
      <c r="G50" t="s">
        <v>40</v>
      </c>
      <c r="H50">
        <v>2020</v>
      </c>
      <c r="I50" t="s">
        <v>39</v>
      </c>
      <c r="J50">
        <v>8887</v>
      </c>
    </row>
    <row r="51" spans="1:10">
      <c r="A51">
        <v>48</v>
      </c>
      <c r="B51" s="15">
        <v>43864</v>
      </c>
      <c r="C51" t="s">
        <v>5</v>
      </c>
      <c r="D51" t="s">
        <v>4</v>
      </c>
      <c r="E51" t="s">
        <v>3</v>
      </c>
      <c r="F51" t="s">
        <v>29</v>
      </c>
      <c r="G51" t="s">
        <v>40</v>
      </c>
      <c r="H51">
        <v>2020</v>
      </c>
      <c r="I51" t="s">
        <v>39</v>
      </c>
      <c r="J51">
        <v>6982</v>
      </c>
    </row>
    <row r="52" spans="1:10">
      <c r="A52">
        <v>49</v>
      </c>
      <c r="B52" s="15">
        <v>43871</v>
      </c>
      <c r="C52" t="s">
        <v>13</v>
      </c>
      <c r="D52" t="s">
        <v>4</v>
      </c>
      <c r="E52" t="s">
        <v>0</v>
      </c>
      <c r="F52" t="s">
        <v>26</v>
      </c>
      <c r="G52" t="s">
        <v>40</v>
      </c>
      <c r="H52">
        <v>2020</v>
      </c>
      <c r="I52" t="s">
        <v>39</v>
      </c>
      <c r="J52">
        <v>4029</v>
      </c>
    </row>
    <row r="53" spans="1:10">
      <c r="A53">
        <v>50</v>
      </c>
      <c r="B53" s="15">
        <v>43871</v>
      </c>
      <c r="C53" t="s">
        <v>2</v>
      </c>
      <c r="D53" t="s">
        <v>1</v>
      </c>
      <c r="E53" t="s">
        <v>9</v>
      </c>
      <c r="F53" t="s">
        <v>32</v>
      </c>
      <c r="G53" t="s">
        <v>40</v>
      </c>
      <c r="H53">
        <v>2020</v>
      </c>
      <c r="I53" t="s">
        <v>39</v>
      </c>
      <c r="J53">
        <v>3665</v>
      </c>
    </row>
    <row r="54" spans="1:10">
      <c r="A54">
        <v>51</v>
      </c>
      <c r="B54" s="15">
        <v>43875</v>
      </c>
      <c r="C54" t="s">
        <v>13</v>
      </c>
      <c r="D54" t="s">
        <v>4</v>
      </c>
      <c r="E54" t="s">
        <v>6</v>
      </c>
      <c r="F54" t="s">
        <v>26</v>
      </c>
      <c r="G54" t="s">
        <v>40</v>
      </c>
      <c r="H54">
        <v>2020</v>
      </c>
      <c r="I54" t="s">
        <v>39</v>
      </c>
      <c r="J54">
        <v>4781</v>
      </c>
    </row>
    <row r="55" spans="1:10">
      <c r="A55">
        <v>52</v>
      </c>
      <c r="B55" s="15">
        <v>43876</v>
      </c>
      <c r="C55" t="s">
        <v>15</v>
      </c>
      <c r="D55" t="s">
        <v>4</v>
      </c>
      <c r="E55" t="s">
        <v>0</v>
      </c>
      <c r="F55" t="s">
        <v>30</v>
      </c>
      <c r="G55" t="s">
        <v>40</v>
      </c>
      <c r="H55">
        <v>2020</v>
      </c>
      <c r="I55" t="s">
        <v>39</v>
      </c>
      <c r="J55">
        <v>3663</v>
      </c>
    </row>
    <row r="56" spans="1:10">
      <c r="A56">
        <v>53</v>
      </c>
      <c r="B56" s="15">
        <v>43878</v>
      </c>
      <c r="C56" t="s">
        <v>8</v>
      </c>
      <c r="D56" t="s">
        <v>4</v>
      </c>
      <c r="E56" t="s">
        <v>6</v>
      </c>
      <c r="F56" t="s">
        <v>29</v>
      </c>
      <c r="G56" t="s">
        <v>40</v>
      </c>
      <c r="H56">
        <v>2020</v>
      </c>
      <c r="I56" t="s">
        <v>39</v>
      </c>
      <c r="J56">
        <v>6331</v>
      </c>
    </row>
    <row r="57" spans="1:10">
      <c r="A57">
        <v>54</v>
      </c>
      <c r="B57" s="15">
        <v>43880</v>
      </c>
      <c r="C57" t="s">
        <v>8</v>
      </c>
      <c r="D57" t="s">
        <v>4</v>
      </c>
      <c r="E57" t="s">
        <v>11</v>
      </c>
      <c r="F57" t="s">
        <v>26</v>
      </c>
      <c r="G57" t="s">
        <v>40</v>
      </c>
      <c r="H57">
        <v>2020</v>
      </c>
      <c r="I57" t="s">
        <v>39</v>
      </c>
      <c r="J57">
        <v>4364</v>
      </c>
    </row>
    <row r="58" spans="1:10">
      <c r="A58">
        <v>55</v>
      </c>
      <c r="B58" s="15">
        <v>43882</v>
      </c>
      <c r="C58" t="s">
        <v>2</v>
      </c>
      <c r="D58" t="s">
        <v>1</v>
      </c>
      <c r="E58" t="s">
        <v>12</v>
      </c>
      <c r="F58" t="s">
        <v>26</v>
      </c>
      <c r="G58" t="s">
        <v>40</v>
      </c>
      <c r="H58">
        <v>2020</v>
      </c>
      <c r="I58" t="s">
        <v>39</v>
      </c>
      <c r="J58">
        <v>607</v>
      </c>
    </row>
    <row r="59" spans="1:10">
      <c r="A59">
        <v>56</v>
      </c>
      <c r="B59" s="15">
        <v>43883</v>
      </c>
      <c r="C59" t="s">
        <v>13</v>
      </c>
      <c r="D59" t="s">
        <v>4</v>
      </c>
      <c r="E59" t="s">
        <v>10</v>
      </c>
      <c r="F59" t="s">
        <v>29</v>
      </c>
      <c r="G59" t="s">
        <v>40</v>
      </c>
      <c r="H59">
        <v>2020</v>
      </c>
      <c r="I59" t="s">
        <v>39</v>
      </c>
      <c r="J59">
        <v>1054</v>
      </c>
    </row>
    <row r="60" spans="1:10">
      <c r="A60">
        <v>57</v>
      </c>
      <c r="B60" s="15">
        <v>43886</v>
      </c>
      <c r="C60" t="s">
        <v>2</v>
      </c>
      <c r="D60" t="s">
        <v>1</v>
      </c>
      <c r="E60" t="s">
        <v>3</v>
      </c>
      <c r="F60" t="s">
        <v>26</v>
      </c>
      <c r="G60" t="s">
        <v>40</v>
      </c>
      <c r="H60">
        <v>2020</v>
      </c>
      <c r="I60" t="s">
        <v>39</v>
      </c>
      <c r="J60">
        <v>7659</v>
      </c>
    </row>
    <row r="61" spans="1:10">
      <c r="A61">
        <v>58</v>
      </c>
      <c r="B61" s="15">
        <v>43886</v>
      </c>
      <c r="C61" t="s">
        <v>14</v>
      </c>
      <c r="D61" t="s">
        <v>1</v>
      </c>
      <c r="E61" t="s">
        <v>9</v>
      </c>
      <c r="F61" t="s">
        <v>29</v>
      </c>
      <c r="G61" t="s">
        <v>40</v>
      </c>
      <c r="H61">
        <v>2020</v>
      </c>
      <c r="I61" t="s">
        <v>39</v>
      </c>
      <c r="J61">
        <v>277</v>
      </c>
    </row>
    <row r="62" spans="1:10">
      <c r="A62">
        <v>59</v>
      </c>
      <c r="B62" s="15">
        <v>43887</v>
      </c>
      <c r="C62" t="s">
        <v>13</v>
      </c>
      <c r="D62" t="s">
        <v>4</v>
      </c>
      <c r="E62" t="s">
        <v>3</v>
      </c>
      <c r="F62" t="s">
        <v>30</v>
      </c>
      <c r="G62" t="s">
        <v>40</v>
      </c>
      <c r="H62">
        <v>2020</v>
      </c>
      <c r="I62" t="s">
        <v>39</v>
      </c>
      <c r="J62">
        <v>235</v>
      </c>
    </row>
    <row r="63" spans="1:10">
      <c r="A63">
        <v>60</v>
      </c>
      <c r="B63" s="15">
        <v>43887</v>
      </c>
      <c r="C63" t="s">
        <v>5</v>
      </c>
      <c r="D63" t="s">
        <v>4</v>
      </c>
      <c r="E63" t="s">
        <v>0</v>
      </c>
      <c r="F63" t="s">
        <v>26</v>
      </c>
      <c r="G63" t="s">
        <v>40</v>
      </c>
      <c r="H63">
        <v>2020</v>
      </c>
      <c r="I63" t="s">
        <v>39</v>
      </c>
      <c r="J63">
        <v>1113</v>
      </c>
    </row>
    <row r="64" spans="1:10">
      <c r="A64">
        <v>61</v>
      </c>
      <c r="B64" s="15">
        <v>43888</v>
      </c>
      <c r="C64" t="s">
        <v>8</v>
      </c>
      <c r="D64" t="s">
        <v>4</v>
      </c>
      <c r="E64" t="s">
        <v>3</v>
      </c>
      <c r="F64" t="s">
        <v>29</v>
      </c>
      <c r="G64" t="s">
        <v>40</v>
      </c>
      <c r="H64">
        <v>2020</v>
      </c>
      <c r="I64" t="s">
        <v>39</v>
      </c>
      <c r="J64">
        <v>1128</v>
      </c>
    </row>
    <row r="65" spans="1:10">
      <c r="A65">
        <v>62</v>
      </c>
      <c r="B65" s="15">
        <v>43888</v>
      </c>
      <c r="C65" t="s">
        <v>14</v>
      </c>
      <c r="D65" t="s">
        <v>1</v>
      </c>
      <c r="E65" t="s">
        <v>11</v>
      </c>
      <c r="F65" t="s">
        <v>30</v>
      </c>
      <c r="G65" t="s">
        <v>40</v>
      </c>
      <c r="H65">
        <v>2020</v>
      </c>
      <c r="I65" t="s">
        <v>39</v>
      </c>
      <c r="J65">
        <v>9231</v>
      </c>
    </row>
    <row r="66" spans="1:10">
      <c r="A66">
        <v>63</v>
      </c>
      <c r="B66" s="15">
        <v>43891</v>
      </c>
      <c r="C66" t="s">
        <v>13</v>
      </c>
      <c r="D66" t="s">
        <v>4</v>
      </c>
      <c r="E66" t="s">
        <v>3</v>
      </c>
      <c r="F66" t="s">
        <v>32</v>
      </c>
      <c r="G66" t="s">
        <v>41</v>
      </c>
      <c r="H66">
        <v>2020</v>
      </c>
      <c r="I66" t="s">
        <v>39</v>
      </c>
      <c r="J66">
        <v>4387</v>
      </c>
    </row>
    <row r="67" spans="1:10">
      <c r="A67">
        <v>64</v>
      </c>
      <c r="B67" s="15">
        <v>43892</v>
      </c>
      <c r="C67" t="s">
        <v>8</v>
      </c>
      <c r="D67" t="s">
        <v>4</v>
      </c>
      <c r="E67" t="s">
        <v>11</v>
      </c>
      <c r="F67" t="s">
        <v>29</v>
      </c>
      <c r="G67" t="s">
        <v>41</v>
      </c>
      <c r="H67">
        <v>2020</v>
      </c>
      <c r="I67" t="s">
        <v>39</v>
      </c>
      <c r="J67">
        <v>2763</v>
      </c>
    </row>
    <row r="68" spans="1:10">
      <c r="A68">
        <v>65</v>
      </c>
      <c r="B68" s="15">
        <v>43894</v>
      </c>
      <c r="C68" t="s">
        <v>13</v>
      </c>
      <c r="D68" t="s">
        <v>4</v>
      </c>
      <c r="E68" t="s">
        <v>12</v>
      </c>
      <c r="F68" t="s">
        <v>26</v>
      </c>
      <c r="G68" t="s">
        <v>41</v>
      </c>
      <c r="H68">
        <v>2020</v>
      </c>
      <c r="I68" t="s">
        <v>39</v>
      </c>
      <c r="J68">
        <v>7898</v>
      </c>
    </row>
    <row r="69" spans="1:10">
      <c r="A69">
        <v>66</v>
      </c>
      <c r="B69" s="15">
        <v>43894</v>
      </c>
      <c r="C69" t="s">
        <v>13</v>
      </c>
      <c r="D69" t="s">
        <v>4</v>
      </c>
      <c r="E69" t="s">
        <v>6</v>
      </c>
      <c r="F69" t="s">
        <v>26</v>
      </c>
      <c r="G69" t="s">
        <v>41</v>
      </c>
      <c r="H69">
        <v>2020</v>
      </c>
      <c r="I69" t="s">
        <v>39</v>
      </c>
      <c r="J69">
        <v>2427</v>
      </c>
    </row>
    <row r="70" spans="1:10">
      <c r="A70">
        <v>67</v>
      </c>
      <c r="B70" s="15">
        <v>43894</v>
      </c>
      <c r="C70" t="s">
        <v>13</v>
      </c>
      <c r="D70" t="s">
        <v>4</v>
      </c>
      <c r="E70" t="s">
        <v>10</v>
      </c>
      <c r="F70" t="s">
        <v>26</v>
      </c>
      <c r="G70" t="s">
        <v>41</v>
      </c>
      <c r="H70">
        <v>2020</v>
      </c>
      <c r="I70" t="s">
        <v>39</v>
      </c>
      <c r="J70">
        <v>8663</v>
      </c>
    </row>
    <row r="71" spans="1:10">
      <c r="A71">
        <v>68</v>
      </c>
      <c r="B71" s="15">
        <v>43897</v>
      </c>
      <c r="C71" t="s">
        <v>2</v>
      </c>
      <c r="D71" t="s">
        <v>1</v>
      </c>
      <c r="E71" t="s">
        <v>9</v>
      </c>
      <c r="F71" t="s">
        <v>32</v>
      </c>
      <c r="G71" t="s">
        <v>41</v>
      </c>
      <c r="H71">
        <v>2020</v>
      </c>
      <c r="I71" t="s">
        <v>39</v>
      </c>
      <c r="J71">
        <v>2789</v>
      </c>
    </row>
    <row r="72" spans="1:10">
      <c r="A72">
        <v>69</v>
      </c>
      <c r="B72" s="15">
        <v>43901</v>
      </c>
      <c r="C72" t="s">
        <v>13</v>
      </c>
      <c r="D72" t="s">
        <v>4</v>
      </c>
      <c r="E72" t="s">
        <v>3</v>
      </c>
      <c r="F72" t="s">
        <v>26</v>
      </c>
      <c r="G72" t="s">
        <v>41</v>
      </c>
      <c r="H72">
        <v>2020</v>
      </c>
      <c r="I72" t="s">
        <v>39</v>
      </c>
      <c r="J72">
        <v>4054</v>
      </c>
    </row>
    <row r="73" spans="1:10">
      <c r="A73">
        <v>70</v>
      </c>
      <c r="B73" s="15">
        <v>43903</v>
      </c>
      <c r="C73" t="s">
        <v>15</v>
      </c>
      <c r="D73" t="s">
        <v>4</v>
      </c>
      <c r="E73" t="s">
        <v>3</v>
      </c>
      <c r="F73" t="s">
        <v>26</v>
      </c>
      <c r="G73" t="s">
        <v>41</v>
      </c>
      <c r="H73">
        <v>2020</v>
      </c>
      <c r="I73" t="s">
        <v>39</v>
      </c>
      <c r="J73">
        <v>2262</v>
      </c>
    </row>
    <row r="74" spans="1:10">
      <c r="A74">
        <v>71</v>
      </c>
      <c r="B74" s="15">
        <v>43905</v>
      </c>
      <c r="C74" t="s">
        <v>15</v>
      </c>
      <c r="D74" t="s">
        <v>4</v>
      </c>
      <c r="E74" t="s">
        <v>12</v>
      </c>
      <c r="F74" t="s">
        <v>26</v>
      </c>
      <c r="G74" t="s">
        <v>41</v>
      </c>
      <c r="H74">
        <v>2020</v>
      </c>
      <c r="I74" t="s">
        <v>39</v>
      </c>
      <c r="J74">
        <v>5600</v>
      </c>
    </row>
    <row r="75" spans="1:10">
      <c r="A75">
        <v>72</v>
      </c>
      <c r="B75" s="15">
        <v>43906</v>
      </c>
      <c r="C75" t="s">
        <v>13</v>
      </c>
      <c r="D75" t="s">
        <v>4</v>
      </c>
      <c r="E75" t="s">
        <v>3</v>
      </c>
      <c r="F75" t="s">
        <v>26</v>
      </c>
      <c r="G75" t="s">
        <v>41</v>
      </c>
      <c r="H75">
        <v>2020</v>
      </c>
      <c r="I75" t="s">
        <v>39</v>
      </c>
      <c r="J75">
        <v>5787</v>
      </c>
    </row>
    <row r="76" spans="1:10">
      <c r="A76">
        <v>73</v>
      </c>
      <c r="B76" s="15">
        <v>43907</v>
      </c>
      <c r="C76" t="s">
        <v>5</v>
      </c>
      <c r="D76" t="s">
        <v>4</v>
      </c>
      <c r="E76" t="s">
        <v>11</v>
      </c>
      <c r="F76" t="s">
        <v>26</v>
      </c>
      <c r="G76" t="s">
        <v>41</v>
      </c>
      <c r="H76">
        <v>2020</v>
      </c>
      <c r="I76" t="s">
        <v>39</v>
      </c>
      <c r="J76">
        <v>6295</v>
      </c>
    </row>
    <row r="77" spans="1:10">
      <c r="A77">
        <v>74</v>
      </c>
      <c r="B77" s="15">
        <v>43907</v>
      </c>
      <c r="C77" t="s">
        <v>13</v>
      </c>
      <c r="D77" t="s">
        <v>4</v>
      </c>
      <c r="E77" t="s">
        <v>9</v>
      </c>
      <c r="F77" t="s">
        <v>29</v>
      </c>
      <c r="G77" t="s">
        <v>41</v>
      </c>
      <c r="H77">
        <v>2020</v>
      </c>
      <c r="I77" t="s">
        <v>39</v>
      </c>
      <c r="J77">
        <v>474</v>
      </c>
    </row>
    <row r="78" spans="1:10">
      <c r="A78">
        <v>75</v>
      </c>
      <c r="B78" s="15">
        <v>43909</v>
      </c>
      <c r="C78" t="s">
        <v>8</v>
      </c>
      <c r="D78" t="s">
        <v>4</v>
      </c>
      <c r="E78" t="s">
        <v>6</v>
      </c>
      <c r="F78" t="s">
        <v>26</v>
      </c>
      <c r="G78" t="s">
        <v>41</v>
      </c>
      <c r="H78">
        <v>2020</v>
      </c>
      <c r="I78" t="s">
        <v>39</v>
      </c>
      <c r="J78">
        <v>4325</v>
      </c>
    </row>
    <row r="79" spans="1:10">
      <c r="A79">
        <v>76</v>
      </c>
      <c r="B79" s="15">
        <v>43909</v>
      </c>
      <c r="C79" t="s">
        <v>13</v>
      </c>
      <c r="D79" t="s">
        <v>4</v>
      </c>
      <c r="E79" t="s">
        <v>3</v>
      </c>
      <c r="F79" t="s">
        <v>32</v>
      </c>
      <c r="G79" t="s">
        <v>41</v>
      </c>
      <c r="H79">
        <v>2020</v>
      </c>
      <c r="I79" t="s">
        <v>39</v>
      </c>
      <c r="J79">
        <v>592</v>
      </c>
    </row>
    <row r="80" spans="1:10">
      <c r="A80">
        <v>77</v>
      </c>
      <c r="B80" s="15">
        <v>43911</v>
      </c>
      <c r="C80" t="s">
        <v>5</v>
      </c>
      <c r="D80" t="s">
        <v>4</v>
      </c>
      <c r="E80" t="s">
        <v>3</v>
      </c>
      <c r="F80" t="s">
        <v>30</v>
      </c>
      <c r="G80" t="s">
        <v>41</v>
      </c>
      <c r="H80">
        <v>2020</v>
      </c>
      <c r="I80" t="s">
        <v>39</v>
      </c>
      <c r="J80">
        <v>4330</v>
      </c>
    </row>
    <row r="81" spans="1:10">
      <c r="A81">
        <v>78</v>
      </c>
      <c r="B81" s="15">
        <v>43912</v>
      </c>
      <c r="C81" t="s">
        <v>13</v>
      </c>
      <c r="D81" t="s">
        <v>4</v>
      </c>
      <c r="E81" t="s">
        <v>12</v>
      </c>
      <c r="F81" t="s">
        <v>30</v>
      </c>
      <c r="G81" t="s">
        <v>41</v>
      </c>
      <c r="H81">
        <v>2020</v>
      </c>
      <c r="I81" t="s">
        <v>39</v>
      </c>
      <c r="J81">
        <v>9405</v>
      </c>
    </row>
    <row r="82" spans="1:10">
      <c r="A82">
        <v>79</v>
      </c>
      <c r="B82" s="15">
        <v>43914</v>
      </c>
      <c r="C82" t="s">
        <v>8</v>
      </c>
      <c r="D82" t="s">
        <v>4</v>
      </c>
      <c r="E82" t="s">
        <v>6</v>
      </c>
      <c r="F82" t="s">
        <v>30</v>
      </c>
      <c r="G82" t="s">
        <v>41</v>
      </c>
      <c r="H82">
        <v>2020</v>
      </c>
      <c r="I82" t="s">
        <v>39</v>
      </c>
      <c r="J82">
        <v>7671</v>
      </c>
    </row>
    <row r="83" spans="1:10">
      <c r="A83">
        <v>80</v>
      </c>
      <c r="B83" s="15">
        <v>43924</v>
      </c>
      <c r="C83" t="s">
        <v>2</v>
      </c>
      <c r="D83" t="s">
        <v>1</v>
      </c>
      <c r="E83" t="s">
        <v>12</v>
      </c>
      <c r="F83" t="s">
        <v>30</v>
      </c>
      <c r="G83" t="s">
        <v>42</v>
      </c>
      <c r="H83">
        <v>2020</v>
      </c>
      <c r="I83" t="s">
        <v>39</v>
      </c>
      <c r="J83">
        <v>5791</v>
      </c>
    </row>
    <row r="84" spans="1:10">
      <c r="A84">
        <v>81</v>
      </c>
      <c r="B84" s="15">
        <v>43924</v>
      </c>
      <c r="C84" t="s">
        <v>13</v>
      </c>
      <c r="D84" t="s">
        <v>4</v>
      </c>
      <c r="E84" t="s">
        <v>11</v>
      </c>
      <c r="F84" t="s">
        <v>30</v>
      </c>
      <c r="G84" t="s">
        <v>42</v>
      </c>
      <c r="H84">
        <v>2020</v>
      </c>
      <c r="I84" t="s">
        <v>39</v>
      </c>
      <c r="J84">
        <v>6007</v>
      </c>
    </row>
    <row r="85" spans="1:10">
      <c r="A85">
        <v>82</v>
      </c>
      <c r="B85" s="15">
        <v>43926</v>
      </c>
      <c r="C85" t="s">
        <v>13</v>
      </c>
      <c r="D85" t="s">
        <v>4</v>
      </c>
      <c r="E85" t="s">
        <v>9</v>
      </c>
      <c r="F85" t="s">
        <v>30</v>
      </c>
      <c r="G85" t="s">
        <v>42</v>
      </c>
      <c r="H85">
        <v>2020</v>
      </c>
      <c r="I85" t="s">
        <v>39</v>
      </c>
      <c r="J85">
        <v>5030</v>
      </c>
    </row>
    <row r="86" spans="1:10">
      <c r="A86">
        <v>83</v>
      </c>
      <c r="B86" s="15">
        <v>43926</v>
      </c>
      <c r="C86" t="s">
        <v>2</v>
      </c>
      <c r="D86" t="s">
        <v>1</v>
      </c>
      <c r="E86" t="s">
        <v>12</v>
      </c>
      <c r="F86" t="s">
        <v>30</v>
      </c>
      <c r="G86" t="s">
        <v>42</v>
      </c>
      <c r="H86">
        <v>2020</v>
      </c>
      <c r="I86" t="s">
        <v>39</v>
      </c>
      <c r="J86">
        <v>6763</v>
      </c>
    </row>
    <row r="87" spans="1:10">
      <c r="A87">
        <v>84</v>
      </c>
      <c r="B87" s="15">
        <v>43926</v>
      </c>
      <c r="C87" t="s">
        <v>13</v>
      </c>
      <c r="D87" t="s">
        <v>4</v>
      </c>
      <c r="E87" t="s">
        <v>0</v>
      </c>
      <c r="F87" t="s">
        <v>30</v>
      </c>
      <c r="G87" t="s">
        <v>42</v>
      </c>
      <c r="H87">
        <v>2020</v>
      </c>
      <c r="I87" t="s">
        <v>39</v>
      </c>
      <c r="J87">
        <v>4248</v>
      </c>
    </row>
    <row r="88" spans="1:10">
      <c r="A88">
        <v>85</v>
      </c>
      <c r="B88" s="15">
        <v>43927</v>
      </c>
      <c r="C88" t="s">
        <v>13</v>
      </c>
      <c r="D88" t="s">
        <v>4</v>
      </c>
      <c r="E88" t="s">
        <v>6</v>
      </c>
      <c r="F88" t="s">
        <v>30</v>
      </c>
      <c r="G88" t="s">
        <v>42</v>
      </c>
      <c r="H88">
        <v>2020</v>
      </c>
      <c r="I88" t="s">
        <v>39</v>
      </c>
      <c r="J88">
        <v>9543</v>
      </c>
    </row>
    <row r="89" spans="1:10">
      <c r="A89">
        <v>86</v>
      </c>
      <c r="B89" s="15">
        <v>43930</v>
      </c>
      <c r="C89" t="s">
        <v>14</v>
      </c>
      <c r="D89" t="s">
        <v>1</v>
      </c>
      <c r="E89" t="s">
        <v>12</v>
      </c>
      <c r="F89" t="s">
        <v>30</v>
      </c>
      <c r="G89" t="s">
        <v>42</v>
      </c>
      <c r="H89">
        <v>2020</v>
      </c>
      <c r="I89" t="s">
        <v>39</v>
      </c>
      <c r="J89">
        <v>2054</v>
      </c>
    </row>
    <row r="90" spans="1:10">
      <c r="A90">
        <v>87</v>
      </c>
      <c r="B90" s="15">
        <v>43931</v>
      </c>
      <c r="C90" t="s">
        <v>7</v>
      </c>
      <c r="D90" t="s">
        <v>1</v>
      </c>
      <c r="E90" t="s">
        <v>9</v>
      </c>
      <c r="F90" t="s">
        <v>30</v>
      </c>
      <c r="G90" t="s">
        <v>42</v>
      </c>
      <c r="H90">
        <v>2020</v>
      </c>
      <c r="I90" t="s">
        <v>39</v>
      </c>
      <c r="J90">
        <v>7094</v>
      </c>
    </row>
    <row r="91" spans="1:10">
      <c r="A91">
        <v>88</v>
      </c>
      <c r="B91" s="15">
        <v>43931</v>
      </c>
      <c r="C91" t="s">
        <v>2</v>
      </c>
      <c r="D91" t="s">
        <v>1</v>
      </c>
      <c r="E91" t="s">
        <v>3</v>
      </c>
      <c r="F91" t="s">
        <v>30</v>
      </c>
      <c r="G91" t="s">
        <v>42</v>
      </c>
      <c r="H91">
        <v>2020</v>
      </c>
      <c r="I91" t="s">
        <v>39</v>
      </c>
      <c r="J91">
        <v>6087</v>
      </c>
    </row>
    <row r="92" spans="1:10">
      <c r="A92">
        <v>89</v>
      </c>
      <c r="B92" s="15">
        <v>43932</v>
      </c>
      <c r="C92" t="s">
        <v>8</v>
      </c>
      <c r="D92" t="s">
        <v>4</v>
      </c>
      <c r="E92" t="s">
        <v>0</v>
      </c>
      <c r="F92" t="s">
        <v>30</v>
      </c>
      <c r="G92" t="s">
        <v>42</v>
      </c>
      <c r="H92">
        <v>2020</v>
      </c>
      <c r="I92" t="s">
        <v>39</v>
      </c>
      <c r="J92">
        <v>4264</v>
      </c>
    </row>
    <row r="93" spans="1:10">
      <c r="A93">
        <v>90</v>
      </c>
      <c r="B93" s="15">
        <v>43932</v>
      </c>
      <c r="C93" t="s">
        <v>15</v>
      </c>
      <c r="D93" t="s">
        <v>4</v>
      </c>
      <c r="E93" t="s">
        <v>3</v>
      </c>
      <c r="F93" t="s">
        <v>26</v>
      </c>
      <c r="G93" t="s">
        <v>42</v>
      </c>
      <c r="H93">
        <v>2020</v>
      </c>
      <c r="I93" t="s">
        <v>39</v>
      </c>
      <c r="J93">
        <v>9333</v>
      </c>
    </row>
    <row r="94" spans="1:10">
      <c r="A94">
        <v>91</v>
      </c>
      <c r="B94" s="15">
        <v>43933</v>
      </c>
      <c r="C94" t="s">
        <v>15</v>
      </c>
      <c r="D94" t="s">
        <v>4</v>
      </c>
      <c r="E94" t="s">
        <v>9</v>
      </c>
      <c r="F94" t="s">
        <v>30</v>
      </c>
      <c r="G94" t="s">
        <v>42</v>
      </c>
      <c r="H94">
        <v>2020</v>
      </c>
      <c r="I94" t="s">
        <v>39</v>
      </c>
      <c r="J94">
        <v>8775</v>
      </c>
    </row>
    <row r="95" spans="1:10">
      <c r="A95">
        <v>92</v>
      </c>
      <c r="B95" s="15">
        <v>43933</v>
      </c>
      <c r="C95" t="s">
        <v>14</v>
      </c>
      <c r="D95" t="s">
        <v>1</v>
      </c>
      <c r="E95" t="s">
        <v>12</v>
      </c>
      <c r="F95" t="s">
        <v>30</v>
      </c>
      <c r="G95" t="s">
        <v>42</v>
      </c>
      <c r="H95">
        <v>2020</v>
      </c>
      <c r="I95" t="s">
        <v>39</v>
      </c>
      <c r="J95">
        <v>2011</v>
      </c>
    </row>
    <row r="96" spans="1:10">
      <c r="A96">
        <v>93</v>
      </c>
      <c r="B96" s="15">
        <v>43935</v>
      </c>
      <c r="C96" t="s">
        <v>13</v>
      </c>
      <c r="D96" t="s">
        <v>4</v>
      </c>
      <c r="E96" t="s">
        <v>3</v>
      </c>
      <c r="F96" t="s">
        <v>30</v>
      </c>
      <c r="G96" t="s">
        <v>42</v>
      </c>
      <c r="H96">
        <v>2020</v>
      </c>
      <c r="I96" t="s">
        <v>39</v>
      </c>
      <c r="J96">
        <v>5632</v>
      </c>
    </row>
    <row r="97" spans="1:10">
      <c r="A97">
        <v>94</v>
      </c>
      <c r="B97" s="15">
        <v>43939</v>
      </c>
      <c r="C97" t="s">
        <v>13</v>
      </c>
      <c r="D97" t="s">
        <v>4</v>
      </c>
      <c r="E97" t="s">
        <v>10</v>
      </c>
      <c r="F97" t="s">
        <v>30</v>
      </c>
      <c r="G97" t="s">
        <v>42</v>
      </c>
      <c r="H97">
        <v>2020</v>
      </c>
      <c r="I97" t="s">
        <v>39</v>
      </c>
      <c r="J97">
        <v>4904</v>
      </c>
    </row>
    <row r="98" spans="1:10">
      <c r="A98">
        <v>95</v>
      </c>
      <c r="B98" s="15">
        <v>43939</v>
      </c>
      <c r="C98" t="s">
        <v>7</v>
      </c>
      <c r="D98" t="s">
        <v>1</v>
      </c>
      <c r="E98" t="s">
        <v>0</v>
      </c>
      <c r="F98" t="s">
        <v>26</v>
      </c>
      <c r="G98" t="s">
        <v>42</v>
      </c>
      <c r="H98">
        <v>2020</v>
      </c>
      <c r="I98" t="s">
        <v>39</v>
      </c>
      <c r="J98">
        <v>1002</v>
      </c>
    </row>
    <row r="99" spans="1:10">
      <c r="A99">
        <v>96</v>
      </c>
      <c r="B99" s="15">
        <v>43941</v>
      </c>
      <c r="C99" t="s">
        <v>5</v>
      </c>
      <c r="D99" t="s">
        <v>4</v>
      </c>
      <c r="E99" t="s">
        <v>12</v>
      </c>
      <c r="F99" t="s">
        <v>26</v>
      </c>
      <c r="G99" t="s">
        <v>42</v>
      </c>
      <c r="H99">
        <v>2020</v>
      </c>
      <c r="I99" t="s">
        <v>39</v>
      </c>
      <c r="J99">
        <v>8141</v>
      </c>
    </row>
    <row r="100" spans="1:10">
      <c r="A100">
        <v>97</v>
      </c>
      <c r="B100" s="15">
        <v>43945</v>
      </c>
      <c r="C100" t="s">
        <v>5</v>
      </c>
      <c r="D100" t="s">
        <v>4</v>
      </c>
      <c r="E100" t="s">
        <v>11</v>
      </c>
      <c r="F100" t="s">
        <v>26</v>
      </c>
      <c r="G100" t="s">
        <v>42</v>
      </c>
      <c r="H100">
        <v>2020</v>
      </c>
      <c r="I100" t="s">
        <v>39</v>
      </c>
      <c r="J100">
        <v>3644</v>
      </c>
    </row>
    <row r="101" spans="1:10">
      <c r="A101">
        <v>98</v>
      </c>
      <c r="B101" s="15">
        <v>43947</v>
      </c>
      <c r="C101" t="s">
        <v>5</v>
      </c>
      <c r="D101" t="s">
        <v>4</v>
      </c>
      <c r="E101" t="s">
        <v>0</v>
      </c>
      <c r="F101" t="s">
        <v>26</v>
      </c>
      <c r="G101" t="s">
        <v>42</v>
      </c>
      <c r="H101">
        <v>2020</v>
      </c>
      <c r="I101" t="s">
        <v>39</v>
      </c>
      <c r="J101">
        <v>1380</v>
      </c>
    </row>
    <row r="102" spans="1:10">
      <c r="A102">
        <v>99</v>
      </c>
      <c r="B102" s="15">
        <v>43947</v>
      </c>
      <c r="C102" t="s">
        <v>14</v>
      </c>
      <c r="D102" t="s">
        <v>1</v>
      </c>
      <c r="E102" t="s">
        <v>9</v>
      </c>
      <c r="F102" t="s">
        <v>26</v>
      </c>
      <c r="G102" t="s">
        <v>42</v>
      </c>
      <c r="H102">
        <v>2020</v>
      </c>
      <c r="I102" t="s">
        <v>39</v>
      </c>
      <c r="J102">
        <v>8354</v>
      </c>
    </row>
    <row r="103" spans="1:10">
      <c r="A103">
        <v>100</v>
      </c>
      <c r="B103" s="15">
        <v>43947</v>
      </c>
      <c r="C103" t="s">
        <v>13</v>
      </c>
      <c r="D103" t="s">
        <v>4</v>
      </c>
      <c r="E103" t="s">
        <v>3</v>
      </c>
      <c r="F103" t="s">
        <v>26</v>
      </c>
      <c r="G103" t="s">
        <v>42</v>
      </c>
      <c r="H103">
        <v>2020</v>
      </c>
      <c r="I103" t="s">
        <v>39</v>
      </c>
      <c r="J103">
        <v>5182</v>
      </c>
    </row>
    <row r="104" spans="1:10">
      <c r="A104">
        <v>101</v>
      </c>
      <c r="B104" s="15">
        <v>43948</v>
      </c>
      <c r="C104" t="s">
        <v>8</v>
      </c>
      <c r="D104" t="s">
        <v>4</v>
      </c>
      <c r="E104" t="s">
        <v>6</v>
      </c>
      <c r="F104" t="s">
        <v>26</v>
      </c>
      <c r="G104" t="s">
        <v>42</v>
      </c>
      <c r="H104">
        <v>2020</v>
      </c>
      <c r="I104" t="s">
        <v>39</v>
      </c>
      <c r="J104">
        <v>2193</v>
      </c>
    </row>
    <row r="105" spans="1:10">
      <c r="A105">
        <v>102</v>
      </c>
      <c r="B105" s="15">
        <v>43948</v>
      </c>
      <c r="C105" t="s">
        <v>15</v>
      </c>
      <c r="D105" t="s">
        <v>4</v>
      </c>
      <c r="E105" t="s">
        <v>3</v>
      </c>
      <c r="F105" t="s">
        <v>26</v>
      </c>
      <c r="G105" t="s">
        <v>42</v>
      </c>
      <c r="H105">
        <v>2020</v>
      </c>
      <c r="I105" t="s">
        <v>39</v>
      </c>
      <c r="J105">
        <v>3647</v>
      </c>
    </row>
    <row r="106" spans="1:10">
      <c r="A106">
        <v>103</v>
      </c>
      <c r="B106" s="15">
        <v>43949</v>
      </c>
      <c r="C106" t="s">
        <v>8</v>
      </c>
      <c r="D106" t="s">
        <v>4</v>
      </c>
      <c r="E106" t="s">
        <v>3</v>
      </c>
      <c r="F106" t="s">
        <v>26</v>
      </c>
      <c r="G106" t="s">
        <v>42</v>
      </c>
      <c r="H106">
        <v>2020</v>
      </c>
      <c r="I106" t="s">
        <v>39</v>
      </c>
      <c r="J106">
        <v>4104</v>
      </c>
    </row>
    <row r="107" spans="1:10">
      <c r="A107">
        <v>104</v>
      </c>
      <c r="B107" s="15">
        <v>43951</v>
      </c>
      <c r="C107" t="s">
        <v>2</v>
      </c>
      <c r="D107" t="s">
        <v>1</v>
      </c>
      <c r="E107" t="s">
        <v>3</v>
      </c>
      <c r="F107" t="s">
        <v>26</v>
      </c>
      <c r="G107" t="s">
        <v>42</v>
      </c>
      <c r="H107">
        <v>2020</v>
      </c>
      <c r="I107" t="s">
        <v>39</v>
      </c>
      <c r="J107">
        <v>7457</v>
      </c>
    </row>
    <row r="108" spans="1:10">
      <c r="A108">
        <v>105</v>
      </c>
      <c r="B108" s="15">
        <v>43952</v>
      </c>
      <c r="C108" t="s">
        <v>15</v>
      </c>
      <c r="D108" t="s">
        <v>4</v>
      </c>
      <c r="E108" t="s">
        <v>11</v>
      </c>
      <c r="F108" t="s">
        <v>26</v>
      </c>
      <c r="G108" t="s">
        <v>43</v>
      </c>
      <c r="H108">
        <v>2020</v>
      </c>
      <c r="I108" t="s">
        <v>44</v>
      </c>
      <c r="J108">
        <v>3767</v>
      </c>
    </row>
    <row r="109" spans="1:10">
      <c r="A109">
        <v>106</v>
      </c>
      <c r="B109" s="15">
        <v>43953</v>
      </c>
      <c r="C109" t="s">
        <v>14</v>
      </c>
      <c r="D109" t="s">
        <v>1</v>
      </c>
      <c r="E109" t="s">
        <v>9</v>
      </c>
      <c r="F109" t="s">
        <v>26</v>
      </c>
      <c r="G109" t="s">
        <v>43</v>
      </c>
      <c r="H109">
        <v>2020</v>
      </c>
      <c r="I109" t="s">
        <v>44</v>
      </c>
      <c r="J109">
        <v>4685</v>
      </c>
    </row>
    <row r="110" spans="1:10">
      <c r="A110">
        <v>107</v>
      </c>
      <c r="B110" s="15">
        <v>43955</v>
      </c>
      <c r="C110" t="s">
        <v>13</v>
      </c>
      <c r="D110" t="s">
        <v>4</v>
      </c>
      <c r="E110" t="s">
        <v>3</v>
      </c>
      <c r="F110" t="s">
        <v>26</v>
      </c>
      <c r="G110" t="s">
        <v>43</v>
      </c>
      <c r="H110">
        <v>2020</v>
      </c>
      <c r="I110" t="s">
        <v>44</v>
      </c>
      <c r="J110">
        <v>3917</v>
      </c>
    </row>
    <row r="111" spans="1:10">
      <c r="A111">
        <v>108</v>
      </c>
      <c r="B111" s="15">
        <v>43956</v>
      </c>
      <c r="C111" t="s">
        <v>8</v>
      </c>
      <c r="D111" t="s">
        <v>4</v>
      </c>
      <c r="E111" t="s">
        <v>11</v>
      </c>
      <c r="F111" t="s">
        <v>26</v>
      </c>
      <c r="G111" t="s">
        <v>43</v>
      </c>
      <c r="H111">
        <v>2020</v>
      </c>
      <c r="I111" t="s">
        <v>44</v>
      </c>
      <c r="J111">
        <v>521</v>
      </c>
    </row>
    <row r="112" spans="1:10">
      <c r="A112">
        <v>109</v>
      </c>
      <c r="B112" s="15">
        <v>43956</v>
      </c>
      <c r="C112" t="s">
        <v>8</v>
      </c>
      <c r="D112" t="s">
        <v>4</v>
      </c>
      <c r="E112" t="s">
        <v>6</v>
      </c>
      <c r="F112" t="s">
        <v>32</v>
      </c>
      <c r="G112" t="s">
        <v>43</v>
      </c>
      <c r="H112">
        <v>2020</v>
      </c>
      <c r="I112" t="s">
        <v>44</v>
      </c>
      <c r="J112">
        <v>5605</v>
      </c>
    </row>
    <row r="113" spans="1:10">
      <c r="A113">
        <v>110</v>
      </c>
      <c r="B113" s="15">
        <v>43956</v>
      </c>
      <c r="C113" t="s">
        <v>14</v>
      </c>
      <c r="D113" t="s">
        <v>1</v>
      </c>
      <c r="E113" t="s">
        <v>9</v>
      </c>
      <c r="F113" t="s">
        <v>26</v>
      </c>
      <c r="G113" t="s">
        <v>43</v>
      </c>
      <c r="H113">
        <v>2020</v>
      </c>
      <c r="I113" t="s">
        <v>44</v>
      </c>
      <c r="J113">
        <v>9630</v>
      </c>
    </row>
    <row r="114" spans="1:10">
      <c r="A114">
        <v>111</v>
      </c>
      <c r="B114" s="15">
        <v>43957</v>
      </c>
      <c r="C114" t="s">
        <v>13</v>
      </c>
      <c r="D114" t="s">
        <v>4</v>
      </c>
      <c r="E114" t="s">
        <v>11</v>
      </c>
      <c r="F114" t="s">
        <v>26</v>
      </c>
      <c r="G114" t="s">
        <v>43</v>
      </c>
      <c r="H114">
        <v>2020</v>
      </c>
      <c r="I114" t="s">
        <v>44</v>
      </c>
      <c r="J114">
        <v>6941</v>
      </c>
    </row>
    <row r="115" spans="1:10">
      <c r="A115">
        <v>112</v>
      </c>
      <c r="B115" s="15">
        <v>43959</v>
      </c>
      <c r="C115" t="s">
        <v>14</v>
      </c>
      <c r="D115" t="s">
        <v>1</v>
      </c>
      <c r="E115" t="s">
        <v>12</v>
      </c>
      <c r="F115" t="s">
        <v>26</v>
      </c>
      <c r="G115" t="s">
        <v>43</v>
      </c>
      <c r="H115">
        <v>2020</v>
      </c>
      <c r="I115" t="s">
        <v>44</v>
      </c>
      <c r="J115">
        <v>7231</v>
      </c>
    </row>
    <row r="116" spans="1:10">
      <c r="A116">
        <v>113</v>
      </c>
      <c r="B116" s="15">
        <v>43959</v>
      </c>
      <c r="C116" t="s">
        <v>14</v>
      </c>
      <c r="D116" t="s">
        <v>1</v>
      </c>
      <c r="E116" t="s">
        <v>0</v>
      </c>
      <c r="F116" t="s">
        <v>26</v>
      </c>
      <c r="G116" t="s">
        <v>43</v>
      </c>
      <c r="H116">
        <v>2020</v>
      </c>
      <c r="I116" t="s">
        <v>44</v>
      </c>
      <c r="J116">
        <v>8891</v>
      </c>
    </row>
    <row r="117" spans="1:10">
      <c r="A117">
        <v>114</v>
      </c>
      <c r="B117" s="15">
        <v>43959</v>
      </c>
      <c r="C117" t="s">
        <v>13</v>
      </c>
      <c r="D117" t="s">
        <v>4</v>
      </c>
      <c r="E117" t="s">
        <v>6</v>
      </c>
      <c r="F117" t="s">
        <v>26</v>
      </c>
      <c r="G117" t="s">
        <v>43</v>
      </c>
      <c r="H117">
        <v>2020</v>
      </c>
      <c r="I117" t="s">
        <v>44</v>
      </c>
      <c r="J117">
        <v>107</v>
      </c>
    </row>
    <row r="118" spans="1:10">
      <c r="A118">
        <v>115</v>
      </c>
      <c r="B118" s="15">
        <v>43961</v>
      </c>
      <c r="C118" t="s">
        <v>13</v>
      </c>
      <c r="D118" t="s">
        <v>4</v>
      </c>
      <c r="E118" t="s">
        <v>3</v>
      </c>
      <c r="F118" t="s">
        <v>26</v>
      </c>
      <c r="G118" t="s">
        <v>43</v>
      </c>
      <c r="H118">
        <v>2020</v>
      </c>
      <c r="I118" t="s">
        <v>44</v>
      </c>
      <c r="J118">
        <v>4243</v>
      </c>
    </row>
    <row r="119" spans="1:10">
      <c r="A119">
        <v>116</v>
      </c>
      <c r="B119" s="15">
        <v>43964</v>
      </c>
      <c r="C119" t="s">
        <v>5</v>
      </c>
      <c r="D119" t="s">
        <v>4</v>
      </c>
      <c r="E119" t="s">
        <v>3</v>
      </c>
      <c r="F119" t="s">
        <v>26</v>
      </c>
      <c r="G119" t="s">
        <v>43</v>
      </c>
      <c r="H119">
        <v>2020</v>
      </c>
      <c r="I119" t="s">
        <v>44</v>
      </c>
      <c r="J119">
        <v>4514</v>
      </c>
    </row>
    <row r="120" spans="1:10">
      <c r="A120">
        <v>117</v>
      </c>
      <c r="B120" s="15">
        <v>43965</v>
      </c>
      <c r="C120" t="s">
        <v>15</v>
      </c>
      <c r="D120" t="s">
        <v>4</v>
      </c>
      <c r="E120" t="s">
        <v>3</v>
      </c>
      <c r="F120" t="s">
        <v>26</v>
      </c>
      <c r="G120" t="s">
        <v>43</v>
      </c>
      <c r="H120">
        <v>2020</v>
      </c>
      <c r="I120" t="s">
        <v>44</v>
      </c>
      <c r="J120">
        <v>5480</v>
      </c>
    </row>
    <row r="121" spans="1:10">
      <c r="A121">
        <v>118</v>
      </c>
      <c r="B121" s="15">
        <v>43967</v>
      </c>
      <c r="C121" t="s">
        <v>13</v>
      </c>
      <c r="D121" t="s">
        <v>4</v>
      </c>
      <c r="E121" t="s">
        <v>6</v>
      </c>
      <c r="F121" t="s">
        <v>26</v>
      </c>
      <c r="G121" t="s">
        <v>43</v>
      </c>
      <c r="H121">
        <v>2020</v>
      </c>
      <c r="I121" t="s">
        <v>44</v>
      </c>
      <c r="J121">
        <v>5002</v>
      </c>
    </row>
    <row r="122" spans="1:10">
      <c r="A122">
        <v>119</v>
      </c>
      <c r="B122" s="15">
        <v>43971</v>
      </c>
      <c r="C122" t="s">
        <v>13</v>
      </c>
      <c r="D122" t="s">
        <v>4</v>
      </c>
      <c r="E122" t="s">
        <v>11</v>
      </c>
      <c r="F122" t="s">
        <v>26</v>
      </c>
      <c r="G122" t="s">
        <v>43</v>
      </c>
      <c r="H122">
        <v>2020</v>
      </c>
      <c r="I122" t="s">
        <v>44</v>
      </c>
      <c r="J122">
        <v>8530</v>
      </c>
    </row>
    <row r="123" spans="1:10">
      <c r="A123">
        <v>120</v>
      </c>
      <c r="B123" s="15">
        <v>43972</v>
      </c>
      <c r="C123" t="s">
        <v>5</v>
      </c>
      <c r="D123" t="s">
        <v>4</v>
      </c>
      <c r="E123" t="s">
        <v>10</v>
      </c>
      <c r="F123" t="s">
        <v>26</v>
      </c>
      <c r="G123" t="s">
        <v>43</v>
      </c>
      <c r="H123">
        <v>2020</v>
      </c>
      <c r="I123" t="s">
        <v>44</v>
      </c>
      <c r="J123">
        <v>4819</v>
      </c>
    </row>
    <row r="124" spans="1:10">
      <c r="A124">
        <v>121</v>
      </c>
      <c r="B124" s="15">
        <v>43973</v>
      </c>
      <c r="C124" t="s">
        <v>14</v>
      </c>
      <c r="D124" t="s">
        <v>1</v>
      </c>
      <c r="E124" t="s">
        <v>12</v>
      </c>
      <c r="F124" t="s">
        <v>32</v>
      </c>
      <c r="G124" t="s">
        <v>43</v>
      </c>
      <c r="H124">
        <v>2020</v>
      </c>
      <c r="I124" t="s">
        <v>44</v>
      </c>
      <c r="J124">
        <v>6343</v>
      </c>
    </row>
    <row r="125" spans="1:10">
      <c r="A125">
        <v>122</v>
      </c>
      <c r="B125" s="15">
        <v>43974</v>
      </c>
      <c r="C125" t="s">
        <v>5</v>
      </c>
      <c r="D125" t="s">
        <v>4</v>
      </c>
      <c r="E125" t="s">
        <v>12</v>
      </c>
      <c r="F125" t="s">
        <v>26</v>
      </c>
      <c r="G125" t="s">
        <v>43</v>
      </c>
      <c r="H125">
        <v>2020</v>
      </c>
      <c r="I125" t="s">
        <v>44</v>
      </c>
      <c r="J125">
        <v>2318</v>
      </c>
    </row>
    <row r="126" spans="1:10">
      <c r="A126">
        <v>123</v>
      </c>
      <c r="B126" s="15">
        <v>43975</v>
      </c>
      <c r="C126" t="s">
        <v>5</v>
      </c>
      <c r="D126" t="s">
        <v>4</v>
      </c>
      <c r="E126" t="s">
        <v>12</v>
      </c>
      <c r="F126" t="s">
        <v>26</v>
      </c>
      <c r="G126" t="s">
        <v>43</v>
      </c>
      <c r="H126">
        <v>2020</v>
      </c>
      <c r="I126" t="s">
        <v>44</v>
      </c>
      <c r="J126">
        <v>220</v>
      </c>
    </row>
    <row r="127" spans="1:10">
      <c r="A127">
        <v>124</v>
      </c>
      <c r="B127" s="15">
        <v>43975</v>
      </c>
      <c r="C127" t="s">
        <v>5</v>
      </c>
      <c r="D127" t="s">
        <v>4</v>
      </c>
      <c r="E127" t="s">
        <v>10</v>
      </c>
      <c r="F127" t="s">
        <v>32</v>
      </c>
      <c r="G127" t="s">
        <v>43</v>
      </c>
      <c r="H127">
        <v>2020</v>
      </c>
      <c r="I127" t="s">
        <v>44</v>
      </c>
      <c r="J127">
        <v>6341</v>
      </c>
    </row>
    <row r="128" spans="1:10">
      <c r="A128">
        <v>125</v>
      </c>
      <c r="B128" s="15">
        <v>43977</v>
      </c>
      <c r="C128" t="s">
        <v>8</v>
      </c>
      <c r="D128" t="s">
        <v>4</v>
      </c>
      <c r="E128" t="s">
        <v>9</v>
      </c>
      <c r="F128" t="s">
        <v>32</v>
      </c>
      <c r="G128" t="s">
        <v>43</v>
      </c>
      <c r="H128">
        <v>2020</v>
      </c>
      <c r="I128" t="s">
        <v>44</v>
      </c>
      <c r="J128">
        <v>330</v>
      </c>
    </row>
    <row r="129" spans="1:10">
      <c r="A129">
        <v>126</v>
      </c>
      <c r="B129" s="15">
        <v>43978</v>
      </c>
      <c r="C129" t="s">
        <v>14</v>
      </c>
      <c r="D129" t="s">
        <v>1</v>
      </c>
      <c r="E129" t="s">
        <v>12</v>
      </c>
      <c r="F129" t="s">
        <v>32</v>
      </c>
      <c r="G129" t="s">
        <v>43</v>
      </c>
      <c r="H129">
        <v>2020</v>
      </c>
      <c r="I129" t="s">
        <v>44</v>
      </c>
      <c r="J129">
        <v>3027</v>
      </c>
    </row>
    <row r="130" spans="1:10">
      <c r="A130">
        <v>127</v>
      </c>
      <c r="B130" s="15">
        <v>43979</v>
      </c>
      <c r="C130" t="s">
        <v>5</v>
      </c>
      <c r="D130" t="s">
        <v>4</v>
      </c>
      <c r="E130" t="s">
        <v>10</v>
      </c>
      <c r="F130" t="s">
        <v>30</v>
      </c>
      <c r="G130" t="s">
        <v>43</v>
      </c>
      <c r="H130">
        <v>2020</v>
      </c>
      <c r="I130" t="s">
        <v>44</v>
      </c>
      <c r="J130">
        <v>850</v>
      </c>
    </row>
    <row r="131" spans="1:10">
      <c r="A131">
        <v>128</v>
      </c>
      <c r="B131" s="15">
        <v>43980</v>
      </c>
      <c r="C131" t="s">
        <v>13</v>
      </c>
      <c r="D131" t="s">
        <v>4</v>
      </c>
      <c r="E131" t="s">
        <v>12</v>
      </c>
      <c r="F131" t="s">
        <v>32</v>
      </c>
      <c r="G131" t="s">
        <v>43</v>
      </c>
      <c r="H131">
        <v>2020</v>
      </c>
      <c r="I131" t="s">
        <v>44</v>
      </c>
      <c r="J131">
        <v>8986</v>
      </c>
    </row>
    <row r="132" spans="1:10">
      <c r="A132">
        <v>129</v>
      </c>
      <c r="B132" s="15">
        <v>43983</v>
      </c>
      <c r="C132" t="s">
        <v>14</v>
      </c>
      <c r="D132" t="s">
        <v>1</v>
      </c>
      <c r="E132" t="s">
        <v>3</v>
      </c>
      <c r="F132" t="s">
        <v>32</v>
      </c>
      <c r="G132" t="s">
        <v>45</v>
      </c>
      <c r="H132">
        <v>2020</v>
      </c>
      <c r="I132" t="s">
        <v>44</v>
      </c>
      <c r="J132">
        <v>3800</v>
      </c>
    </row>
    <row r="133" spans="1:10">
      <c r="A133">
        <v>130</v>
      </c>
      <c r="B133" s="15">
        <v>43988</v>
      </c>
      <c r="C133" t="s">
        <v>2</v>
      </c>
      <c r="D133" t="s">
        <v>1</v>
      </c>
      <c r="E133" t="s">
        <v>12</v>
      </c>
      <c r="F133" t="s">
        <v>32</v>
      </c>
      <c r="G133" t="s">
        <v>45</v>
      </c>
      <c r="H133">
        <v>2020</v>
      </c>
      <c r="I133" t="s">
        <v>44</v>
      </c>
      <c r="J133">
        <v>5751</v>
      </c>
    </row>
    <row r="134" spans="1:10">
      <c r="A134">
        <v>131</v>
      </c>
      <c r="B134" s="15">
        <v>43988</v>
      </c>
      <c r="C134" t="s">
        <v>8</v>
      </c>
      <c r="D134" t="s">
        <v>4</v>
      </c>
      <c r="E134" t="s">
        <v>12</v>
      </c>
      <c r="F134" t="s">
        <v>32</v>
      </c>
      <c r="G134" t="s">
        <v>45</v>
      </c>
      <c r="H134">
        <v>2020</v>
      </c>
      <c r="I134" t="s">
        <v>44</v>
      </c>
      <c r="J134">
        <v>1704</v>
      </c>
    </row>
    <row r="135" spans="1:10">
      <c r="A135">
        <v>132</v>
      </c>
      <c r="B135" s="15">
        <v>43989</v>
      </c>
      <c r="C135" t="s">
        <v>13</v>
      </c>
      <c r="D135" t="s">
        <v>4</v>
      </c>
      <c r="E135" t="s">
        <v>0</v>
      </c>
      <c r="F135" t="s">
        <v>30</v>
      </c>
      <c r="G135" t="s">
        <v>45</v>
      </c>
      <c r="H135">
        <v>2020</v>
      </c>
      <c r="I135" t="s">
        <v>44</v>
      </c>
      <c r="J135">
        <v>7966</v>
      </c>
    </row>
    <row r="136" spans="1:10">
      <c r="A136">
        <v>133</v>
      </c>
      <c r="B136" s="15">
        <v>43991</v>
      </c>
      <c r="C136" t="s">
        <v>13</v>
      </c>
      <c r="D136" t="s">
        <v>4</v>
      </c>
      <c r="E136" t="s">
        <v>3</v>
      </c>
      <c r="F136" t="s">
        <v>32</v>
      </c>
      <c r="G136" t="s">
        <v>45</v>
      </c>
      <c r="H136">
        <v>2020</v>
      </c>
      <c r="I136" t="s">
        <v>44</v>
      </c>
      <c r="J136">
        <v>852</v>
      </c>
    </row>
    <row r="137" spans="1:10">
      <c r="A137">
        <v>134</v>
      </c>
      <c r="B137" s="15">
        <v>43992</v>
      </c>
      <c r="C137" t="s">
        <v>7</v>
      </c>
      <c r="D137" t="s">
        <v>1</v>
      </c>
      <c r="E137" t="s">
        <v>0</v>
      </c>
      <c r="F137" t="s">
        <v>32</v>
      </c>
      <c r="G137" t="s">
        <v>45</v>
      </c>
      <c r="H137">
        <v>2020</v>
      </c>
      <c r="I137" t="s">
        <v>44</v>
      </c>
      <c r="J137">
        <v>8416</v>
      </c>
    </row>
    <row r="138" spans="1:10">
      <c r="A138">
        <v>135</v>
      </c>
      <c r="B138" s="15">
        <v>43992</v>
      </c>
      <c r="C138" t="s">
        <v>13</v>
      </c>
      <c r="D138" t="s">
        <v>4</v>
      </c>
      <c r="E138" t="s">
        <v>6</v>
      </c>
      <c r="F138" t="s">
        <v>32</v>
      </c>
      <c r="G138" t="s">
        <v>45</v>
      </c>
      <c r="H138">
        <v>2020</v>
      </c>
      <c r="I138" t="s">
        <v>44</v>
      </c>
      <c r="J138">
        <v>7144</v>
      </c>
    </row>
    <row r="139" spans="1:10">
      <c r="A139">
        <v>136</v>
      </c>
      <c r="B139" s="15">
        <v>43995</v>
      </c>
      <c r="C139" t="s">
        <v>14</v>
      </c>
      <c r="D139" t="s">
        <v>1</v>
      </c>
      <c r="E139" t="s">
        <v>3</v>
      </c>
      <c r="F139" t="s">
        <v>32</v>
      </c>
      <c r="G139" t="s">
        <v>45</v>
      </c>
      <c r="H139">
        <v>2020</v>
      </c>
      <c r="I139" t="s">
        <v>44</v>
      </c>
      <c r="J139">
        <v>7854</v>
      </c>
    </row>
    <row r="140" spans="1:10">
      <c r="A140">
        <v>137</v>
      </c>
      <c r="B140" s="15">
        <v>43998</v>
      </c>
      <c r="C140" t="s">
        <v>5</v>
      </c>
      <c r="D140" t="s">
        <v>4</v>
      </c>
      <c r="E140" t="s">
        <v>3</v>
      </c>
      <c r="F140" t="s">
        <v>32</v>
      </c>
      <c r="G140" t="s">
        <v>45</v>
      </c>
      <c r="H140">
        <v>2020</v>
      </c>
      <c r="I140" t="s">
        <v>44</v>
      </c>
      <c r="J140">
        <v>859</v>
      </c>
    </row>
    <row r="141" spans="1:10">
      <c r="A141">
        <v>138</v>
      </c>
      <c r="B141" s="15">
        <v>44001</v>
      </c>
      <c r="C141" t="s">
        <v>14</v>
      </c>
      <c r="D141" t="s">
        <v>1</v>
      </c>
      <c r="E141" t="s">
        <v>3</v>
      </c>
      <c r="F141" t="s">
        <v>26</v>
      </c>
      <c r="G141" t="s">
        <v>45</v>
      </c>
      <c r="H141">
        <v>2020</v>
      </c>
      <c r="I141" t="s">
        <v>44</v>
      </c>
      <c r="J141">
        <v>8049</v>
      </c>
    </row>
    <row r="142" spans="1:10">
      <c r="A142">
        <v>139</v>
      </c>
      <c r="B142" s="15">
        <v>44001</v>
      </c>
      <c r="C142" t="s">
        <v>13</v>
      </c>
      <c r="D142" t="s">
        <v>4</v>
      </c>
      <c r="E142" t="s">
        <v>9</v>
      </c>
      <c r="F142" t="s">
        <v>32</v>
      </c>
      <c r="G142" t="s">
        <v>45</v>
      </c>
      <c r="H142">
        <v>2020</v>
      </c>
      <c r="I142" t="s">
        <v>44</v>
      </c>
      <c r="J142">
        <v>2836</v>
      </c>
    </row>
    <row r="143" spans="1:10">
      <c r="A143">
        <v>140</v>
      </c>
      <c r="B143" s="15">
        <v>44001</v>
      </c>
      <c r="C143" t="s">
        <v>2</v>
      </c>
      <c r="D143" t="s">
        <v>1</v>
      </c>
      <c r="E143" t="s">
        <v>3</v>
      </c>
      <c r="F143" t="s">
        <v>32</v>
      </c>
      <c r="G143" t="s">
        <v>45</v>
      </c>
      <c r="H143">
        <v>2020</v>
      </c>
      <c r="I143" t="s">
        <v>44</v>
      </c>
      <c r="J143">
        <v>1743</v>
      </c>
    </row>
    <row r="144" spans="1:10">
      <c r="A144">
        <v>141</v>
      </c>
      <c r="B144" s="15">
        <v>44002</v>
      </c>
      <c r="C144" t="s">
        <v>8</v>
      </c>
      <c r="D144" t="s">
        <v>4</v>
      </c>
      <c r="E144" t="s">
        <v>6</v>
      </c>
      <c r="F144" t="s">
        <v>30</v>
      </c>
      <c r="G144" t="s">
        <v>45</v>
      </c>
      <c r="H144">
        <v>2020</v>
      </c>
      <c r="I144" t="s">
        <v>44</v>
      </c>
      <c r="J144">
        <v>3844</v>
      </c>
    </row>
    <row r="145" spans="1:10">
      <c r="A145">
        <v>142</v>
      </c>
      <c r="B145" s="15">
        <v>44008</v>
      </c>
      <c r="C145" t="s">
        <v>8</v>
      </c>
      <c r="D145" t="s">
        <v>4</v>
      </c>
      <c r="E145" t="s">
        <v>6</v>
      </c>
      <c r="F145" t="s">
        <v>30</v>
      </c>
      <c r="G145" t="s">
        <v>45</v>
      </c>
      <c r="H145">
        <v>2020</v>
      </c>
      <c r="I145" t="s">
        <v>44</v>
      </c>
      <c r="J145">
        <v>7490</v>
      </c>
    </row>
    <row r="146" spans="1:10">
      <c r="A146">
        <v>143</v>
      </c>
      <c r="B146" s="15">
        <v>44010</v>
      </c>
      <c r="C146" t="s">
        <v>14</v>
      </c>
      <c r="D146" t="s">
        <v>1</v>
      </c>
      <c r="E146" t="s">
        <v>9</v>
      </c>
      <c r="F146" t="s">
        <v>30</v>
      </c>
      <c r="G146" t="s">
        <v>45</v>
      </c>
      <c r="H146">
        <v>2020</v>
      </c>
      <c r="I146" t="s">
        <v>44</v>
      </c>
      <c r="J146">
        <v>4483</v>
      </c>
    </row>
    <row r="147" spans="1:10">
      <c r="A147">
        <v>144</v>
      </c>
      <c r="B147" s="15">
        <v>44014</v>
      </c>
      <c r="C147" t="s">
        <v>8</v>
      </c>
      <c r="D147" t="s">
        <v>4</v>
      </c>
      <c r="E147" t="s">
        <v>11</v>
      </c>
      <c r="F147" t="s">
        <v>30</v>
      </c>
      <c r="G147" t="s">
        <v>27</v>
      </c>
      <c r="H147">
        <v>2020</v>
      </c>
      <c r="I147" t="s">
        <v>28</v>
      </c>
      <c r="J147">
        <v>7333</v>
      </c>
    </row>
    <row r="148" spans="1:10">
      <c r="A148">
        <v>145</v>
      </c>
      <c r="B148" s="15">
        <v>44014</v>
      </c>
      <c r="C148" t="s">
        <v>2</v>
      </c>
      <c r="D148" t="s">
        <v>1</v>
      </c>
      <c r="E148" t="s">
        <v>3</v>
      </c>
      <c r="F148" t="s">
        <v>30</v>
      </c>
      <c r="G148" t="s">
        <v>27</v>
      </c>
      <c r="H148">
        <v>2020</v>
      </c>
      <c r="I148" t="s">
        <v>28</v>
      </c>
      <c r="J148">
        <v>7654</v>
      </c>
    </row>
    <row r="149" spans="1:10">
      <c r="A149">
        <v>146</v>
      </c>
      <c r="B149" s="15">
        <v>44019</v>
      </c>
      <c r="C149" t="s">
        <v>8</v>
      </c>
      <c r="D149" t="s">
        <v>4</v>
      </c>
      <c r="E149" t="s">
        <v>12</v>
      </c>
      <c r="F149" t="s">
        <v>30</v>
      </c>
      <c r="G149" t="s">
        <v>27</v>
      </c>
      <c r="H149">
        <v>2020</v>
      </c>
      <c r="I149" t="s">
        <v>28</v>
      </c>
      <c r="J149">
        <v>3944</v>
      </c>
    </row>
    <row r="150" spans="1:10">
      <c r="A150">
        <v>147</v>
      </c>
      <c r="B150" s="15">
        <v>44020</v>
      </c>
      <c r="C150" t="s">
        <v>7</v>
      </c>
      <c r="D150" t="s">
        <v>1</v>
      </c>
      <c r="E150" t="s">
        <v>9</v>
      </c>
      <c r="F150" t="s">
        <v>30</v>
      </c>
      <c r="G150" t="s">
        <v>27</v>
      </c>
      <c r="H150">
        <v>2020</v>
      </c>
      <c r="I150" t="s">
        <v>28</v>
      </c>
      <c r="J150">
        <v>5761</v>
      </c>
    </row>
    <row r="151" spans="1:10">
      <c r="A151">
        <v>148</v>
      </c>
      <c r="B151" s="15">
        <v>44021</v>
      </c>
      <c r="C151" t="s">
        <v>13</v>
      </c>
      <c r="D151" t="s">
        <v>4</v>
      </c>
      <c r="E151" t="s">
        <v>10</v>
      </c>
      <c r="F151" t="s">
        <v>26</v>
      </c>
      <c r="G151" t="s">
        <v>27</v>
      </c>
      <c r="H151">
        <v>2020</v>
      </c>
      <c r="I151" t="s">
        <v>28</v>
      </c>
      <c r="J151">
        <v>6864</v>
      </c>
    </row>
    <row r="152" spans="1:10">
      <c r="A152">
        <v>149</v>
      </c>
      <c r="B152" s="15">
        <v>44022</v>
      </c>
      <c r="C152" t="s">
        <v>13</v>
      </c>
      <c r="D152" t="s">
        <v>4</v>
      </c>
      <c r="E152" t="s">
        <v>9</v>
      </c>
      <c r="F152" t="s">
        <v>30</v>
      </c>
      <c r="G152" t="s">
        <v>27</v>
      </c>
      <c r="H152">
        <v>2020</v>
      </c>
      <c r="I152" t="s">
        <v>28</v>
      </c>
      <c r="J152">
        <v>4016</v>
      </c>
    </row>
    <row r="153" spans="1:10">
      <c r="A153">
        <v>150</v>
      </c>
      <c r="B153" s="15">
        <v>44031</v>
      </c>
      <c r="C153" t="s">
        <v>13</v>
      </c>
      <c r="D153" t="s">
        <v>4</v>
      </c>
      <c r="E153" t="s">
        <v>3</v>
      </c>
      <c r="F153" t="s">
        <v>30</v>
      </c>
      <c r="G153" t="s">
        <v>27</v>
      </c>
      <c r="H153">
        <v>2020</v>
      </c>
      <c r="I153" t="s">
        <v>28</v>
      </c>
      <c r="J153">
        <v>1841</v>
      </c>
    </row>
    <row r="154" spans="1:10">
      <c r="A154">
        <v>151</v>
      </c>
      <c r="B154" s="15">
        <v>44032</v>
      </c>
      <c r="C154" t="s">
        <v>13</v>
      </c>
      <c r="D154" t="s">
        <v>4</v>
      </c>
      <c r="E154" t="s">
        <v>0</v>
      </c>
      <c r="F154" t="s">
        <v>30</v>
      </c>
      <c r="G154" t="s">
        <v>27</v>
      </c>
      <c r="H154">
        <v>2020</v>
      </c>
      <c r="I154" t="s">
        <v>28</v>
      </c>
      <c r="J154">
        <v>424</v>
      </c>
    </row>
    <row r="155" spans="1:10">
      <c r="A155">
        <v>152</v>
      </c>
      <c r="B155" s="15">
        <v>44034</v>
      </c>
      <c r="C155" t="s">
        <v>13</v>
      </c>
      <c r="D155" t="s">
        <v>4</v>
      </c>
      <c r="E155" t="s">
        <v>12</v>
      </c>
      <c r="F155" t="s">
        <v>30</v>
      </c>
      <c r="G155" t="s">
        <v>27</v>
      </c>
      <c r="H155">
        <v>2020</v>
      </c>
      <c r="I155" t="s">
        <v>28</v>
      </c>
      <c r="J155">
        <v>8765</v>
      </c>
    </row>
    <row r="156" spans="1:10">
      <c r="A156">
        <v>153</v>
      </c>
      <c r="B156" s="15">
        <v>44035</v>
      </c>
      <c r="C156" t="s">
        <v>13</v>
      </c>
      <c r="D156" t="s">
        <v>4</v>
      </c>
      <c r="E156" t="s">
        <v>3</v>
      </c>
      <c r="F156" t="s">
        <v>26</v>
      </c>
      <c r="G156" t="s">
        <v>27</v>
      </c>
      <c r="H156">
        <v>2020</v>
      </c>
      <c r="I156" t="s">
        <v>28</v>
      </c>
      <c r="J156">
        <v>5583</v>
      </c>
    </row>
    <row r="157" spans="1:10">
      <c r="A157">
        <v>154</v>
      </c>
      <c r="B157" s="15">
        <v>44041</v>
      </c>
      <c r="C157" t="s">
        <v>14</v>
      </c>
      <c r="D157" t="s">
        <v>1</v>
      </c>
      <c r="E157" t="s">
        <v>10</v>
      </c>
      <c r="F157" t="s">
        <v>30</v>
      </c>
      <c r="G157" t="s">
        <v>27</v>
      </c>
      <c r="H157">
        <v>2020</v>
      </c>
      <c r="I157" t="s">
        <v>28</v>
      </c>
      <c r="J157">
        <v>4390</v>
      </c>
    </row>
    <row r="158" spans="1:10">
      <c r="A158">
        <v>155</v>
      </c>
      <c r="B158" s="15">
        <v>44044</v>
      </c>
      <c r="C158" t="s">
        <v>14</v>
      </c>
      <c r="D158" t="s">
        <v>1</v>
      </c>
      <c r="E158" t="s">
        <v>11</v>
      </c>
      <c r="F158" t="s">
        <v>26</v>
      </c>
      <c r="G158" t="s">
        <v>31</v>
      </c>
      <c r="H158">
        <v>2020</v>
      </c>
      <c r="I158" t="s">
        <v>28</v>
      </c>
      <c r="J158">
        <v>352</v>
      </c>
    </row>
    <row r="159" spans="1:10">
      <c r="A159">
        <v>156</v>
      </c>
      <c r="B159" s="15">
        <v>44045</v>
      </c>
      <c r="C159" t="s">
        <v>8</v>
      </c>
      <c r="D159" t="s">
        <v>4</v>
      </c>
      <c r="E159" t="s">
        <v>3</v>
      </c>
      <c r="F159" t="s">
        <v>26</v>
      </c>
      <c r="G159" t="s">
        <v>31</v>
      </c>
      <c r="H159">
        <v>2020</v>
      </c>
      <c r="I159" t="s">
        <v>28</v>
      </c>
      <c r="J159">
        <v>8489</v>
      </c>
    </row>
    <row r="160" spans="1:10">
      <c r="A160">
        <v>157</v>
      </c>
      <c r="B160" s="15">
        <v>44049</v>
      </c>
      <c r="C160" t="s">
        <v>13</v>
      </c>
      <c r="D160" t="s">
        <v>4</v>
      </c>
      <c r="E160" t="s">
        <v>6</v>
      </c>
      <c r="F160" t="s">
        <v>26</v>
      </c>
      <c r="G160" t="s">
        <v>31</v>
      </c>
      <c r="H160">
        <v>2020</v>
      </c>
      <c r="I160" t="s">
        <v>28</v>
      </c>
      <c r="J160">
        <v>7090</v>
      </c>
    </row>
    <row r="161" spans="1:10">
      <c r="A161">
        <v>158</v>
      </c>
      <c r="B161" s="15">
        <v>44050</v>
      </c>
      <c r="C161" t="s">
        <v>13</v>
      </c>
      <c r="D161" t="s">
        <v>4</v>
      </c>
      <c r="E161" t="s">
        <v>3</v>
      </c>
      <c r="F161" t="s">
        <v>26</v>
      </c>
      <c r="G161" t="s">
        <v>31</v>
      </c>
      <c r="H161">
        <v>2020</v>
      </c>
      <c r="I161" t="s">
        <v>28</v>
      </c>
      <c r="J161">
        <v>7880</v>
      </c>
    </row>
    <row r="162" spans="1:10">
      <c r="A162">
        <v>159</v>
      </c>
      <c r="B162" s="15">
        <v>44052</v>
      </c>
      <c r="C162" t="s">
        <v>5</v>
      </c>
      <c r="D162" t="s">
        <v>4</v>
      </c>
      <c r="E162" t="s">
        <v>3</v>
      </c>
      <c r="F162" t="s">
        <v>30</v>
      </c>
      <c r="G162" t="s">
        <v>31</v>
      </c>
      <c r="H162">
        <v>2020</v>
      </c>
      <c r="I162" t="s">
        <v>28</v>
      </c>
      <c r="J162">
        <v>3861</v>
      </c>
    </row>
    <row r="163" spans="1:10">
      <c r="A163">
        <v>160</v>
      </c>
      <c r="B163" s="15">
        <v>44052</v>
      </c>
      <c r="C163" t="s">
        <v>14</v>
      </c>
      <c r="D163" t="s">
        <v>1</v>
      </c>
      <c r="E163" t="s">
        <v>9</v>
      </c>
      <c r="F163" t="s">
        <v>26</v>
      </c>
      <c r="G163" t="s">
        <v>31</v>
      </c>
      <c r="H163">
        <v>2020</v>
      </c>
      <c r="I163" t="s">
        <v>28</v>
      </c>
      <c r="J163">
        <v>7927</v>
      </c>
    </row>
    <row r="164" spans="1:10">
      <c r="A164">
        <v>161</v>
      </c>
      <c r="B164" s="15">
        <v>44053</v>
      </c>
      <c r="C164" t="s">
        <v>13</v>
      </c>
      <c r="D164" t="s">
        <v>4</v>
      </c>
      <c r="E164" t="s">
        <v>3</v>
      </c>
      <c r="F164" t="s">
        <v>26</v>
      </c>
      <c r="G164" t="s">
        <v>31</v>
      </c>
      <c r="H164">
        <v>2020</v>
      </c>
      <c r="I164" t="s">
        <v>28</v>
      </c>
      <c r="J164">
        <v>6162</v>
      </c>
    </row>
    <row r="165" spans="1:10">
      <c r="A165">
        <v>162</v>
      </c>
      <c r="B165" s="15">
        <v>44054</v>
      </c>
      <c r="C165" t="s">
        <v>15</v>
      </c>
      <c r="D165" t="s">
        <v>4</v>
      </c>
      <c r="E165" t="s">
        <v>0</v>
      </c>
      <c r="F165" t="s">
        <v>26</v>
      </c>
      <c r="G165" t="s">
        <v>31</v>
      </c>
      <c r="H165">
        <v>2020</v>
      </c>
      <c r="I165" t="s">
        <v>28</v>
      </c>
      <c r="J165">
        <v>5523</v>
      </c>
    </row>
    <row r="166" spans="1:10">
      <c r="A166">
        <v>163</v>
      </c>
      <c r="B166" s="15">
        <v>44058</v>
      </c>
      <c r="C166" t="s">
        <v>14</v>
      </c>
      <c r="D166" t="s">
        <v>1</v>
      </c>
      <c r="E166" t="s">
        <v>12</v>
      </c>
      <c r="F166" t="s">
        <v>26</v>
      </c>
      <c r="G166" t="s">
        <v>31</v>
      </c>
      <c r="H166">
        <v>2020</v>
      </c>
      <c r="I166" t="s">
        <v>28</v>
      </c>
      <c r="J166">
        <v>5936</v>
      </c>
    </row>
    <row r="167" spans="1:10">
      <c r="A167">
        <v>164</v>
      </c>
      <c r="B167" s="15">
        <v>44058</v>
      </c>
      <c r="C167" t="s">
        <v>2</v>
      </c>
      <c r="D167" t="s">
        <v>1</v>
      </c>
      <c r="E167" t="s">
        <v>9</v>
      </c>
      <c r="F167" t="s">
        <v>26</v>
      </c>
      <c r="G167" t="s">
        <v>31</v>
      </c>
      <c r="H167">
        <v>2020</v>
      </c>
      <c r="I167" t="s">
        <v>28</v>
      </c>
      <c r="J167">
        <v>7251</v>
      </c>
    </row>
    <row r="168" spans="1:10">
      <c r="A168">
        <v>165</v>
      </c>
      <c r="B168" s="15">
        <v>44059</v>
      </c>
      <c r="C168" t="s">
        <v>5</v>
      </c>
      <c r="D168" t="s">
        <v>4</v>
      </c>
      <c r="E168" t="s">
        <v>0</v>
      </c>
      <c r="F168" t="s">
        <v>26</v>
      </c>
      <c r="G168" t="s">
        <v>31</v>
      </c>
      <c r="H168">
        <v>2020</v>
      </c>
      <c r="I168" t="s">
        <v>28</v>
      </c>
      <c r="J168">
        <v>6187</v>
      </c>
    </row>
    <row r="169" spans="1:10">
      <c r="A169">
        <v>166</v>
      </c>
      <c r="B169" s="15">
        <v>44060</v>
      </c>
      <c r="C169" t="s">
        <v>13</v>
      </c>
      <c r="D169" t="s">
        <v>4</v>
      </c>
      <c r="E169" t="s">
        <v>9</v>
      </c>
      <c r="F169" t="s">
        <v>29</v>
      </c>
      <c r="G169" t="s">
        <v>31</v>
      </c>
      <c r="H169">
        <v>2020</v>
      </c>
      <c r="I169" t="s">
        <v>28</v>
      </c>
      <c r="J169">
        <v>3210</v>
      </c>
    </row>
    <row r="170" spans="1:10">
      <c r="A170">
        <v>167</v>
      </c>
      <c r="B170" s="15">
        <v>44064</v>
      </c>
      <c r="C170" t="s">
        <v>2</v>
      </c>
      <c r="D170" t="s">
        <v>1</v>
      </c>
      <c r="E170" t="s">
        <v>9</v>
      </c>
      <c r="F170" t="s">
        <v>29</v>
      </c>
      <c r="G170" t="s">
        <v>31</v>
      </c>
      <c r="H170">
        <v>2020</v>
      </c>
      <c r="I170" t="s">
        <v>28</v>
      </c>
      <c r="J170">
        <v>682</v>
      </c>
    </row>
    <row r="171" spans="1:10">
      <c r="A171">
        <v>168</v>
      </c>
      <c r="B171" s="15">
        <v>44065</v>
      </c>
      <c r="C171" t="s">
        <v>13</v>
      </c>
      <c r="D171" t="s">
        <v>4</v>
      </c>
      <c r="E171" t="s">
        <v>0</v>
      </c>
      <c r="F171" t="s">
        <v>29</v>
      </c>
      <c r="G171" t="s">
        <v>31</v>
      </c>
      <c r="H171">
        <v>2020</v>
      </c>
      <c r="I171" t="s">
        <v>28</v>
      </c>
      <c r="J171">
        <v>793</v>
      </c>
    </row>
    <row r="172" spans="1:10">
      <c r="A172">
        <v>169</v>
      </c>
      <c r="B172" s="15">
        <v>44067</v>
      </c>
      <c r="C172" t="s">
        <v>2</v>
      </c>
      <c r="D172" t="s">
        <v>1</v>
      </c>
      <c r="E172" t="s">
        <v>9</v>
      </c>
      <c r="F172" t="s">
        <v>29</v>
      </c>
      <c r="G172" t="s">
        <v>31</v>
      </c>
      <c r="H172">
        <v>2020</v>
      </c>
      <c r="I172" t="s">
        <v>28</v>
      </c>
      <c r="J172">
        <v>5346</v>
      </c>
    </row>
    <row r="173" spans="1:10">
      <c r="A173">
        <v>170</v>
      </c>
      <c r="B173" s="15">
        <v>44070</v>
      </c>
      <c r="C173" t="s">
        <v>13</v>
      </c>
      <c r="D173" t="s">
        <v>4</v>
      </c>
      <c r="E173" t="s">
        <v>10</v>
      </c>
      <c r="F173" t="s">
        <v>29</v>
      </c>
      <c r="G173" t="s">
        <v>31</v>
      </c>
      <c r="H173">
        <v>2020</v>
      </c>
      <c r="I173" t="s">
        <v>28</v>
      </c>
      <c r="J173">
        <v>7103</v>
      </c>
    </row>
    <row r="174" spans="1:10">
      <c r="A174">
        <v>171</v>
      </c>
      <c r="B174" s="15">
        <v>44073</v>
      </c>
      <c r="C174" t="s">
        <v>2</v>
      </c>
      <c r="D174" t="s">
        <v>1</v>
      </c>
      <c r="E174" t="s">
        <v>3</v>
      </c>
      <c r="F174" t="s">
        <v>29</v>
      </c>
      <c r="G174" t="s">
        <v>31</v>
      </c>
      <c r="H174">
        <v>2020</v>
      </c>
      <c r="I174" t="s">
        <v>28</v>
      </c>
      <c r="J174">
        <v>4603</v>
      </c>
    </row>
    <row r="175" spans="1:10">
      <c r="A175">
        <v>172</v>
      </c>
      <c r="B175" s="15">
        <v>44075</v>
      </c>
      <c r="C175" t="s">
        <v>8</v>
      </c>
      <c r="D175" t="s">
        <v>4</v>
      </c>
      <c r="E175" t="s">
        <v>6</v>
      </c>
      <c r="F175" t="s">
        <v>29</v>
      </c>
      <c r="G175" t="s">
        <v>33</v>
      </c>
      <c r="H175">
        <v>2020</v>
      </c>
      <c r="I175" t="s">
        <v>28</v>
      </c>
      <c r="J175">
        <v>8160</v>
      </c>
    </row>
    <row r="176" spans="1:10">
      <c r="A176">
        <v>173</v>
      </c>
      <c r="B176" s="15">
        <v>44076</v>
      </c>
      <c r="C176" t="s">
        <v>8</v>
      </c>
      <c r="D176" t="s">
        <v>4</v>
      </c>
      <c r="E176" t="s">
        <v>12</v>
      </c>
      <c r="F176" t="s">
        <v>29</v>
      </c>
      <c r="G176" t="s">
        <v>33</v>
      </c>
      <c r="H176">
        <v>2020</v>
      </c>
      <c r="I176" t="s">
        <v>28</v>
      </c>
      <c r="J176">
        <v>7171</v>
      </c>
    </row>
    <row r="177" spans="1:10">
      <c r="A177">
        <v>174</v>
      </c>
      <c r="B177" s="15">
        <v>44077</v>
      </c>
      <c r="C177" t="s">
        <v>13</v>
      </c>
      <c r="D177" t="s">
        <v>4</v>
      </c>
      <c r="E177" t="s">
        <v>10</v>
      </c>
      <c r="F177" t="s">
        <v>26</v>
      </c>
      <c r="G177" t="s">
        <v>33</v>
      </c>
      <c r="H177">
        <v>2020</v>
      </c>
      <c r="I177" t="s">
        <v>28</v>
      </c>
      <c r="J177">
        <v>3552</v>
      </c>
    </row>
    <row r="178" spans="1:10">
      <c r="A178">
        <v>175</v>
      </c>
      <c r="B178" s="15">
        <v>44080</v>
      </c>
      <c r="C178" t="s">
        <v>13</v>
      </c>
      <c r="D178" t="s">
        <v>4</v>
      </c>
      <c r="E178" t="s">
        <v>0</v>
      </c>
      <c r="F178" t="s">
        <v>29</v>
      </c>
      <c r="G178" t="s">
        <v>33</v>
      </c>
      <c r="H178">
        <v>2020</v>
      </c>
      <c r="I178" t="s">
        <v>28</v>
      </c>
      <c r="J178">
        <v>7273</v>
      </c>
    </row>
    <row r="179" spans="1:10">
      <c r="A179">
        <v>176</v>
      </c>
      <c r="B179" s="15">
        <v>44082</v>
      </c>
      <c r="C179" t="s">
        <v>13</v>
      </c>
      <c r="D179" t="s">
        <v>4</v>
      </c>
      <c r="E179" t="s">
        <v>9</v>
      </c>
      <c r="F179" t="s">
        <v>29</v>
      </c>
      <c r="G179" t="s">
        <v>33</v>
      </c>
      <c r="H179">
        <v>2020</v>
      </c>
      <c r="I179" t="s">
        <v>28</v>
      </c>
      <c r="J179">
        <v>2402</v>
      </c>
    </row>
    <row r="180" spans="1:10">
      <c r="A180">
        <v>177</v>
      </c>
      <c r="B180" s="15">
        <v>44082</v>
      </c>
      <c r="C180" t="s">
        <v>13</v>
      </c>
      <c r="D180" t="s">
        <v>4</v>
      </c>
      <c r="E180" t="s">
        <v>0</v>
      </c>
      <c r="F180" t="s">
        <v>30</v>
      </c>
      <c r="G180" t="s">
        <v>33</v>
      </c>
      <c r="H180">
        <v>2020</v>
      </c>
      <c r="I180" t="s">
        <v>28</v>
      </c>
      <c r="J180">
        <v>1197</v>
      </c>
    </row>
    <row r="181" spans="1:10">
      <c r="A181">
        <v>178</v>
      </c>
      <c r="B181" s="15">
        <v>44083</v>
      </c>
      <c r="C181" t="s">
        <v>7</v>
      </c>
      <c r="D181" t="s">
        <v>1</v>
      </c>
      <c r="E181" t="s">
        <v>0</v>
      </c>
      <c r="F181" t="s">
        <v>30</v>
      </c>
      <c r="G181" t="s">
        <v>33</v>
      </c>
      <c r="H181">
        <v>2020</v>
      </c>
      <c r="I181" t="s">
        <v>28</v>
      </c>
      <c r="J181">
        <v>5015</v>
      </c>
    </row>
    <row r="182" spans="1:10">
      <c r="A182">
        <v>179</v>
      </c>
      <c r="B182" s="15">
        <v>44083</v>
      </c>
      <c r="C182" t="s">
        <v>5</v>
      </c>
      <c r="D182" t="s">
        <v>4</v>
      </c>
      <c r="E182" t="s">
        <v>3</v>
      </c>
      <c r="F182" t="s">
        <v>30</v>
      </c>
      <c r="G182" t="s">
        <v>33</v>
      </c>
      <c r="H182">
        <v>2020</v>
      </c>
      <c r="I182" t="s">
        <v>28</v>
      </c>
      <c r="J182">
        <v>5818</v>
      </c>
    </row>
    <row r="183" spans="1:10">
      <c r="A183">
        <v>180</v>
      </c>
      <c r="B183" s="15">
        <v>44083</v>
      </c>
      <c r="C183" t="s">
        <v>13</v>
      </c>
      <c r="D183" t="s">
        <v>4</v>
      </c>
      <c r="E183" t="s">
        <v>12</v>
      </c>
      <c r="F183" t="s">
        <v>30</v>
      </c>
      <c r="G183" t="s">
        <v>33</v>
      </c>
      <c r="H183">
        <v>2020</v>
      </c>
      <c r="I183" t="s">
        <v>28</v>
      </c>
      <c r="J183">
        <v>4399</v>
      </c>
    </row>
    <row r="184" spans="1:10">
      <c r="A184">
        <v>181</v>
      </c>
      <c r="B184" s="15">
        <v>44083</v>
      </c>
      <c r="C184" t="s">
        <v>2</v>
      </c>
      <c r="D184" t="s">
        <v>1</v>
      </c>
      <c r="E184" t="s">
        <v>3</v>
      </c>
      <c r="F184" t="s">
        <v>30</v>
      </c>
      <c r="G184" t="s">
        <v>33</v>
      </c>
      <c r="H184">
        <v>2020</v>
      </c>
      <c r="I184" t="s">
        <v>28</v>
      </c>
      <c r="J184">
        <v>3011</v>
      </c>
    </row>
    <row r="185" spans="1:10">
      <c r="A185">
        <v>182</v>
      </c>
      <c r="B185" s="15">
        <v>44083</v>
      </c>
      <c r="C185" t="s">
        <v>8</v>
      </c>
      <c r="D185" t="s">
        <v>4</v>
      </c>
      <c r="E185" t="s">
        <v>12</v>
      </c>
      <c r="F185" t="s">
        <v>30</v>
      </c>
      <c r="G185" t="s">
        <v>33</v>
      </c>
      <c r="H185">
        <v>2020</v>
      </c>
      <c r="I185" t="s">
        <v>28</v>
      </c>
      <c r="J185">
        <v>4715</v>
      </c>
    </row>
    <row r="186" spans="1:10">
      <c r="A186">
        <v>183</v>
      </c>
      <c r="B186" s="15">
        <v>44085</v>
      </c>
      <c r="C186" t="s">
        <v>8</v>
      </c>
      <c r="D186" t="s">
        <v>4</v>
      </c>
      <c r="E186" t="s">
        <v>6</v>
      </c>
      <c r="F186" t="s">
        <v>30</v>
      </c>
      <c r="G186" t="s">
        <v>33</v>
      </c>
      <c r="H186">
        <v>2020</v>
      </c>
      <c r="I186" t="s">
        <v>28</v>
      </c>
      <c r="J186">
        <v>5321</v>
      </c>
    </row>
    <row r="187" spans="1:10">
      <c r="A187">
        <v>184</v>
      </c>
      <c r="B187" s="15">
        <v>44089</v>
      </c>
      <c r="C187" t="s">
        <v>13</v>
      </c>
      <c r="D187" t="s">
        <v>4</v>
      </c>
      <c r="E187" t="s">
        <v>3</v>
      </c>
      <c r="F187" t="s">
        <v>30</v>
      </c>
      <c r="G187" t="s">
        <v>33</v>
      </c>
      <c r="H187">
        <v>2020</v>
      </c>
      <c r="I187" t="s">
        <v>28</v>
      </c>
      <c r="J187">
        <v>8894</v>
      </c>
    </row>
    <row r="188" spans="1:10">
      <c r="A188">
        <v>185</v>
      </c>
      <c r="B188" s="15">
        <v>44090</v>
      </c>
      <c r="C188" t="s">
        <v>2</v>
      </c>
      <c r="D188" t="s">
        <v>1</v>
      </c>
      <c r="E188" t="s">
        <v>12</v>
      </c>
      <c r="F188" t="s">
        <v>26</v>
      </c>
      <c r="G188" t="s">
        <v>33</v>
      </c>
      <c r="H188">
        <v>2020</v>
      </c>
      <c r="I188" t="s">
        <v>28</v>
      </c>
      <c r="J188">
        <v>4846</v>
      </c>
    </row>
    <row r="189" spans="1:10">
      <c r="A189">
        <v>186</v>
      </c>
      <c r="B189" s="15">
        <v>44090</v>
      </c>
      <c r="C189" t="s">
        <v>14</v>
      </c>
      <c r="D189" t="s">
        <v>1</v>
      </c>
      <c r="E189" t="s">
        <v>9</v>
      </c>
      <c r="F189" t="s">
        <v>29</v>
      </c>
      <c r="G189" t="s">
        <v>33</v>
      </c>
      <c r="H189">
        <v>2020</v>
      </c>
      <c r="I189" t="s">
        <v>28</v>
      </c>
      <c r="J189">
        <v>284</v>
      </c>
    </row>
    <row r="190" spans="1:10">
      <c r="A190">
        <v>187</v>
      </c>
      <c r="B190" s="15">
        <v>44092</v>
      </c>
      <c r="C190" t="s">
        <v>5</v>
      </c>
      <c r="D190" t="s">
        <v>4</v>
      </c>
      <c r="E190" t="s">
        <v>12</v>
      </c>
      <c r="F190" t="s">
        <v>32</v>
      </c>
      <c r="G190" t="s">
        <v>33</v>
      </c>
      <c r="H190">
        <v>2020</v>
      </c>
      <c r="I190" t="s">
        <v>28</v>
      </c>
      <c r="J190">
        <v>8283</v>
      </c>
    </row>
    <row r="191" spans="1:10">
      <c r="A191">
        <v>188</v>
      </c>
      <c r="B191" s="15">
        <v>44094</v>
      </c>
      <c r="C191" t="s">
        <v>5</v>
      </c>
      <c r="D191" t="s">
        <v>4</v>
      </c>
      <c r="E191" t="s">
        <v>11</v>
      </c>
      <c r="F191" t="s">
        <v>32</v>
      </c>
      <c r="G191" t="s">
        <v>33</v>
      </c>
      <c r="H191">
        <v>2020</v>
      </c>
      <c r="I191" t="s">
        <v>28</v>
      </c>
      <c r="J191">
        <v>9990</v>
      </c>
    </row>
    <row r="192" spans="1:10">
      <c r="A192">
        <v>189</v>
      </c>
      <c r="B192" s="15">
        <v>44098</v>
      </c>
      <c r="C192" t="s">
        <v>13</v>
      </c>
      <c r="D192" t="s">
        <v>4</v>
      </c>
      <c r="E192" t="s">
        <v>0</v>
      </c>
      <c r="F192" t="s">
        <v>32</v>
      </c>
      <c r="G192" t="s">
        <v>47</v>
      </c>
      <c r="H192">
        <v>2020</v>
      </c>
      <c r="I192" t="s">
        <v>28</v>
      </c>
      <c r="J192">
        <v>9014</v>
      </c>
    </row>
    <row r="193" spans="1:10">
      <c r="A193">
        <v>190</v>
      </c>
      <c r="B193" s="15">
        <v>44098</v>
      </c>
      <c r="C193" t="s">
        <v>8</v>
      </c>
      <c r="D193" t="s">
        <v>4</v>
      </c>
      <c r="E193" t="s">
        <v>6</v>
      </c>
      <c r="F193" t="s">
        <v>32</v>
      </c>
      <c r="G193" t="s">
        <v>33</v>
      </c>
      <c r="H193">
        <v>2020</v>
      </c>
      <c r="I193" t="s">
        <v>28</v>
      </c>
      <c r="J193">
        <v>1942</v>
      </c>
    </row>
    <row r="194" spans="1:10">
      <c r="A194">
        <v>191</v>
      </c>
      <c r="B194" s="15">
        <v>44098</v>
      </c>
      <c r="C194" t="s">
        <v>13</v>
      </c>
      <c r="D194" t="s">
        <v>4</v>
      </c>
      <c r="E194" t="s">
        <v>3</v>
      </c>
      <c r="F194" t="s">
        <v>30</v>
      </c>
      <c r="G194" t="s">
        <v>33</v>
      </c>
      <c r="H194">
        <v>2020</v>
      </c>
      <c r="I194" t="s">
        <v>28</v>
      </c>
      <c r="J194">
        <v>7223</v>
      </c>
    </row>
    <row r="195" spans="1:10">
      <c r="A195">
        <v>192</v>
      </c>
      <c r="B195" s="15">
        <v>44099</v>
      </c>
      <c r="C195" t="s">
        <v>2</v>
      </c>
      <c r="D195" t="s">
        <v>1</v>
      </c>
      <c r="E195" t="s">
        <v>3</v>
      </c>
      <c r="F195" t="s">
        <v>30</v>
      </c>
      <c r="G195" t="s">
        <v>33</v>
      </c>
      <c r="H195">
        <v>2020</v>
      </c>
      <c r="I195" t="s">
        <v>28</v>
      </c>
      <c r="J195">
        <v>4673</v>
      </c>
    </row>
    <row r="196" spans="1:10">
      <c r="A196">
        <v>193</v>
      </c>
      <c r="B196" s="15">
        <v>44100</v>
      </c>
      <c r="C196" t="s">
        <v>2</v>
      </c>
      <c r="D196" t="s">
        <v>1</v>
      </c>
      <c r="E196" t="s">
        <v>6</v>
      </c>
      <c r="F196" t="s">
        <v>30</v>
      </c>
      <c r="G196" t="s">
        <v>33</v>
      </c>
      <c r="H196">
        <v>2020</v>
      </c>
      <c r="I196" t="s">
        <v>28</v>
      </c>
      <c r="J196">
        <v>9104</v>
      </c>
    </row>
    <row r="197" spans="1:10">
      <c r="A197">
        <v>194</v>
      </c>
      <c r="B197" s="15">
        <v>44101</v>
      </c>
      <c r="C197" t="s">
        <v>8</v>
      </c>
      <c r="D197" t="s">
        <v>4</v>
      </c>
      <c r="E197" t="s">
        <v>3</v>
      </c>
      <c r="F197" t="s">
        <v>30</v>
      </c>
      <c r="G197" t="s">
        <v>33</v>
      </c>
      <c r="H197">
        <v>2020</v>
      </c>
      <c r="I197" t="s">
        <v>28</v>
      </c>
      <c r="J197">
        <v>6078</v>
      </c>
    </row>
    <row r="198" spans="1:10">
      <c r="A198">
        <v>195</v>
      </c>
      <c r="B198" s="15">
        <v>44101</v>
      </c>
      <c r="C198" t="s">
        <v>7</v>
      </c>
      <c r="D198" t="s">
        <v>1</v>
      </c>
      <c r="E198" t="s">
        <v>9</v>
      </c>
      <c r="F198" t="s">
        <v>30</v>
      </c>
      <c r="G198" t="s">
        <v>33</v>
      </c>
      <c r="H198">
        <v>2020</v>
      </c>
      <c r="I198" t="s">
        <v>28</v>
      </c>
      <c r="J198">
        <v>3278</v>
      </c>
    </row>
    <row r="199" spans="1:10">
      <c r="A199">
        <v>196</v>
      </c>
      <c r="B199" s="15">
        <v>44102</v>
      </c>
      <c r="C199" t="s">
        <v>13</v>
      </c>
      <c r="D199" t="s">
        <v>4</v>
      </c>
      <c r="E199" t="s">
        <v>11</v>
      </c>
      <c r="F199" t="s">
        <v>26</v>
      </c>
      <c r="G199" t="s">
        <v>33</v>
      </c>
      <c r="H199">
        <v>2020</v>
      </c>
      <c r="I199" t="s">
        <v>28</v>
      </c>
      <c r="J199">
        <v>136</v>
      </c>
    </row>
    <row r="200" spans="1:10">
      <c r="A200">
        <v>197</v>
      </c>
      <c r="B200" s="15">
        <v>44102</v>
      </c>
      <c r="C200" t="s">
        <v>13</v>
      </c>
      <c r="D200" t="s">
        <v>4</v>
      </c>
      <c r="E200" t="s">
        <v>0</v>
      </c>
      <c r="F200" t="s">
        <v>26</v>
      </c>
      <c r="G200" t="s">
        <v>33</v>
      </c>
      <c r="H200">
        <v>2020</v>
      </c>
      <c r="I200" t="s">
        <v>28</v>
      </c>
      <c r="J200">
        <v>8377</v>
      </c>
    </row>
    <row r="201" spans="1:10">
      <c r="A201">
        <v>198</v>
      </c>
      <c r="B201" s="15">
        <v>44103</v>
      </c>
      <c r="C201" t="s">
        <v>13</v>
      </c>
      <c r="D201" t="s">
        <v>4</v>
      </c>
      <c r="E201" t="s">
        <v>3</v>
      </c>
      <c r="F201" t="s">
        <v>26</v>
      </c>
      <c r="G201" t="s">
        <v>33</v>
      </c>
      <c r="H201">
        <v>2020</v>
      </c>
      <c r="I201" t="s">
        <v>28</v>
      </c>
      <c r="J201">
        <v>2382</v>
      </c>
    </row>
    <row r="202" spans="1:10">
      <c r="A202">
        <v>199</v>
      </c>
      <c r="B202" s="15">
        <v>44104</v>
      </c>
      <c r="C202" t="s">
        <v>13</v>
      </c>
      <c r="D202" t="s">
        <v>4</v>
      </c>
      <c r="E202" t="s">
        <v>9</v>
      </c>
      <c r="F202" t="s">
        <v>26</v>
      </c>
      <c r="G202" t="s">
        <v>33</v>
      </c>
      <c r="H202">
        <v>2020</v>
      </c>
      <c r="I202" t="s">
        <v>28</v>
      </c>
      <c r="J202">
        <v>8702</v>
      </c>
    </row>
    <row r="203" spans="1:10">
      <c r="A203">
        <v>200</v>
      </c>
      <c r="B203" s="15">
        <v>44111</v>
      </c>
      <c r="C203" t="s">
        <v>13</v>
      </c>
      <c r="D203" t="s">
        <v>4</v>
      </c>
      <c r="E203" t="s">
        <v>3</v>
      </c>
      <c r="F203" t="s">
        <v>26</v>
      </c>
      <c r="G203" t="s">
        <v>34</v>
      </c>
      <c r="H203">
        <v>2020</v>
      </c>
      <c r="I203" t="s">
        <v>35</v>
      </c>
      <c r="J203">
        <v>5021</v>
      </c>
    </row>
    <row r="204" spans="1:10">
      <c r="A204">
        <v>201</v>
      </c>
      <c r="B204" s="15">
        <v>44111</v>
      </c>
      <c r="C204" t="s">
        <v>8</v>
      </c>
      <c r="D204" t="s">
        <v>4</v>
      </c>
      <c r="E204" t="s">
        <v>0</v>
      </c>
      <c r="F204" t="s">
        <v>26</v>
      </c>
      <c r="G204" t="s">
        <v>34</v>
      </c>
      <c r="H204">
        <v>2020</v>
      </c>
      <c r="I204" t="s">
        <v>35</v>
      </c>
      <c r="J204">
        <v>1760</v>
      </c>
    </row>
    <row r="205" spans="1:10">
      <c r="A205">
        <v>202</v>
      </c>
      <c r="B205" s="15">
        <v>44112</v>
      </c>
      <c r="C205" t="s">
        <v>13</v>
      </c>
      <c r="D205" t="s">
        <v>4</v>
      </c>
      <c r="E205" t="s">
        <v>9</v>
      </c>
      <c r="F205" t="s">
        <v>26</v>
      </c>
      <c r="G205" t="s">
        <v>34</v>
      </c>
      <c r="H205">
        <v>2020</v>
      </c>
      <c r="I205" t="s">
        <v>35</v>
      </c>
      <c r="J205">
        <v>4766</v>
      </c>
    </row>
    <row r="206" spans="1:10">
      <c r="A206">
        <v>203</v>
      </c>
      <c r="B206" s="15">
        <v>44112</v>
      </c>
      <c r="C206" t="s">
        <v>7</v>
      </c>
      <c r="D206" t="s">
        <v>1</v>
      </c>
      <c r="E206" t="s">
        <v>12</v>
      </c>
      <c r="F206" t="s">
        <v>26</v>
      </c>
      <c r="G206" t="s">
        <v>34</v>
      </c>
      <c r="H206">
        <v>2020</v>
      </c>
      <c r="I206" t="s">
        <v>35</v>
      </c>
      <c r="J206">
        <v>1541</v>
      </c>
    </row>
    <row r="207" spans="1:10">
      <c r="A207">
        <v>204</v>
      </c>
      <c r="B207" s="15">
        <v>44112</v>
      </c>
      <c r="C207" t="s">
        <v>5</v>
      </c>
      <c r="D207" t="s">
        <v>4</v>
      </c>
      <c r="E207" t="s">
        <v>12</v>
      </c>
      <c r="F207" t="s">
        <v>26</v>
      </c>
      <c r="G207" t="s">
        <v>34</v>
      </c>
      <c r="H207">
        <v>2020</v>
      </c>
      <c r="I207" t="s">
        <v>35</v>
      </c>
      <c r="J207">
        <v>2782</v>
      </c>
    </row>
    <row r="208" spans="1:10">
      <c r="A208">
        <v>205</v>
      </c>
      <c r="B208" s="15">
        <v>44113</v>
      </c>
      <c r="C208" t="s">
        <v>8</v>
      </c>
      <c r="D208" t="s">
        <v>4</v>
      </c>
      <c r="E208" t="s">
        <v>11</v>
      </c>
      <c r="F208" t="s">
        <v>26</v>
      </c>
      <c r="G208" t="s">
        <v>34</v>
      </c>
      <c r="H208">
        <v>2020</v>
      </c>
      <c r="I208" t="s">
        <v>35</v>
      </c>
      <c r="J208">
        <v>2455</v>
      </c>
    </row>
    <row r="209" spans="1:10">
      <c r="A209">
        <v>206</v>
      </c>
      <c r="B209" s="15">
        <v>44113</v>
      </c>
      <c r="C209" t="s">
        <v>8</v>
      </c>
      <c r="D209" t="s">
        <v>4</v>
      </c>
      <c r="E209" t="s">
        <v>10</v>
      </c>
      <c r="F209" t="s">
        <v>26</v>
      </c>
      <c r="G209" t="s">
        <v>34</v>
      </c>
      <c r="H209">
        <v>2020</v>
      </c>
      <c r="I209" t="s">
        <v>35</v>
      </c>
      <c r="J209">
        <v>4512</v>
      </c>
    </row>
    <row r="210" spans="1:10">
      <c r="A210">
        <v>207</v>
      </c>
      <c r="B210" s="15">
        <v>44113</v>
      </c>
      <c r="C210" t="s">
        <v>8</v>
      </c>
      <c r="D210" t="s">
        <v>4</v>
      </c>
      <c r="E210" t="s">
        <v>9</v>
      </c>
      <c r="F210" t="s">
        <v>26</v>
      </c>
      <c r="G210" t="s">
        <v>34</v>
      </c>
      <c r="H210">
        <v>2020</v>
      </c>
      <c r="I210" t="s">
        <v>35</v>
      </c>
      <c r="J210">
        <v>8752</v>
      </c>
    </row>
    <row r="211" spans="1:10">
      <c r="A211">
        <v>208</v>
      </c>
      <c r="B211" s="15">
        <v>44114</v>
      </c>
      <c r="C211" t="s">
        <v>2</v>
      </c>
      <c r="D211" t="s">
        <v>1</v>
      </c>
      <c r="E211" t="s">
        <v>3</v>
      </c>
      <c r="F211" t="s">
        <v>26</v>
      </c>
      <c r="G211" t="s">
        <v>34</v>
      </c>
      <c r="H211">
        <v>2020</v>
      </c>
      <c r="I211" t="s">
        <v>35</v>
      </c>
      <c r="J211">
        <v>9127</v>
      </c>
    </row>
    <row r="212" spans="1:10">
      <c r="A212">
        <v>209</v>
      </c>
      <c r="B212" s="15">
        <v>44116</v>
      </c>
      <c r="C212" t="s">
        <v>8</v>
      </c>
      <c r="D212" t="s">
        <v>4</v>
      </c>
      <c r="E212" t="s">
        <v>6</v>
      </c>
      <c r="F212" t="s">
        <v>26</v>
      </c>
      <c r="G212" t="s">
        <v>34</v>
      </c>
      <c r="H212">
        <v>2020</v>
      </c>
      <c r="I212" t="s">
        <v>35</v>
      </c>
      <c r="J212">
        <v>1777</v>
      </c>
    </row>
    <row r="213" spans="1:10">
      <c r="A213">
        <v>210</v>
      </c>
      <c r="B213" s="15">
        <v>44116</v>
      </c>
      <c r="C213" t="s">
        <v>7</v>
      </c>
      <c r="D213" t="s">
        <v>1</v>
      </c>
      <c r="E213" t="s">
        <v>6</v>
      </c>
      <c r="F213" t="s">
        <v>26</v>
      </c>
      <c r="G213" t="s">
        <v>34</v>
      </c>
      <c r="H213">
        <v>2020</v>
      </c>
      <c r="I213" t="s">
        <v>35</v>
      </c>
      <c r="J213">
        <v>680</v>
      </c>
    </row>
    <row r="214" spans="1:10">
      <c r="A214">
        <v>211</v>
      </c>
      <c r="B214" s="15">
        <v>44118</v>
      </c>
      <c r="C214" t="s">
        <v>5</v>
      </c>
      <c r="D214" t="s">
        <v>4</v>
      </c>
      <c r="E214" t="s">
        <v>3</v>
      </c>
      <c r="F214" t="s">
        <v>26</v>
      </c>
      <c r="G214" t="s">
        <v>34</v>
      </c>
      <c r="H214">
        <v>2020</v>
      </c>
      <c r="I214" t="s">
        <v>35</v>
      </c>
      <c r="J214">
        <v>958</v>
      </c>
    </row>
    <row r="215" spans="1:10">
      <c r="A215">
        <v>212</v>
      </c>
      <c r="B215" s="15">
        <v>44119</v>
      </c>
      <c r="C215" t="s">
        <v>2</v>
      </c>
      <c r="D215" t="s">
        <v>1</v>
      </c>
      <c r="E215" t="s">
        <v>0</v>
      </c>
      <c r="F215" t="s">
        <v>26</v>
      </c>
      <c r="G215" t="s">
        <v>34</v>
      </c>
      <c r="H215">
        <v>2020</v>
      </c>
      <c r="I215" t="s">
        <v>35</v>
      </c>
      <c r="J215">
        <v>2613</v>
      </c>
    </row>
    <row r="216" spans="1:10">
      <c r="A216">
        <v>213</v>
      </c>
      <c r="B216" s="15">
        <v>44122</v>
      </c>
      <c r="C216" t="s">
        <v>2</v>
      </c>
      <c r="D216" t="s">
        <v>1</v>
      </c>
      <c r="E216" t="s">
        <v>0</v>
      </c>
      <c r="F216" t="s">
        <v>30</v>
      </c>
      <c r="G216" t="s">
        <v>34</v>
      </c>
      <c r="H216">
        <v>2020</v>
      </c>
      <c r="I216" t="s">
        <v>35</v>
      </c>
      <c r="J216">
        <v>339</v>
      </c>
    </row>
    <row r="217" spans="1:10">
      <c r="A217">
        <v>214</v>
      </c>
      <c r="B217" s="15">
        <v>44123</v>
      </c>
      <c r="C217" t="s">
        <v>13</v>
      </c>
      <c r="D217" t="s">
        <v>4</v>
      </c>
      <c r="E217" t="s">
        <v>84</v>
      </c>
      <c r="F217" t="s">
        <v>30</v>
      </c>
      <c r="G217" t="s">
        <v>34</v>
      </c>
      <c r="H217">
        <v>2019</v>
      </c>
      <c r="I217" t="s">
        <v>39</v>
      </c>
      <c r="J217">
        <v>5000</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BFE928-26DE-4B0D-BA3D-E40D60665B16}">
  <dimension ref="A1:V103"/>
  <sheetViews>
    <sheetView topLeftCell="K1" zoomScale="77" zoomScaleNormal="77" workbookViewId="0">
      <selection activeCell="V2" sqref="V2"/>
    </sheetView>
  </sheetViews>
  <sheetFormatPr defaultRowHeight="14.4"/>
  <cols>
    <col min="1" max="1" width="26.5546875" bestFit="1" customWidth="1"/>
    <col min="2" max="2" width="15.77734375" bestFit="1" customWidth="1"/>
    <col min="3" max="4" width="15.77734375" customWidth="1"/>
    <col min="7" max="7" width="24.6640625" bestFit="1" customWidth="1"/>
    <col min="8" max="8" width="15.77734375" bestFit="1" customWidth="1"/>
    <col min="9" max="9" width="15.88671875" bestFit="1" customWidth="1"/>
    <col min="10" max="11" width="11.109375" bestFit="1" customWidth="1"/>
    <col min="12" max="12" width="14.44140625" bestFit="1" customWidth="1"/>
    <col min="13" max="13" width="60.33203125" bestFit="1" customWidth="1"/>
    <col min="14" max="14" width="16.21875" bestFit="1" customWidth="1"/>
    <col min="15" max="17" width="12.44140625" bestFit="1" customWidth="1"/>
    <col min="18" max="18" width="14.109375" bestFit="1" customWidth="1"/>
    <col min="19" max="19" width="7.109375" bestFit="1" customWidth="1"/>
    <col min="20" max="20" width="14.44140625" bestFit="1" customWidth="1"/>
    <col min="21" max="21" width="14.6640625" bestFit="1" customWidth="1"/>
    <col min="22" max="22" width="10.33203125" bestFit="1" customWidth="1"/>
    <col min="23" max="23" width="15.77734375" bestFit="1" customWidth="1"/>
    <col min="24" max="25" width="7" bestFit="1" customWidth="1"/>
    <col min="26" max="26" width="7.109375" bestFit="1" customWidth="1"/>
    <col min="27" max="27" width="8" bestFit="1" customWidth="1"/>
    <col min="28" max="28" width="7.33203125" bestFit="1" customWidth="1"/>
    <col min="29" max="29" width="6" bestFit="1" customWidth="1"/>
    <col min="30" max="30" width="7.6640625" bestFit="1" customWidth="1"/>
    <col min="31" max="32" width="7" bestFit="1" customWidth="1"/>
    <col min="33" max="33" width="7.109375" bestFit="1" customWidth="1"/>
    <col min="34" max="34" width="7.21875" bestFit="1" customWidth="1"/>
    <col min="35" max="35" width="7.33203125" bestFit="1" customWidth="1"/>
    <col min="36" max="36" width="6" bestFit="1" customWidth="1"/>
    <col min="37" max="37" width="7.6640625" bestFit="1" customWidth="1"/>
    <col min="38" max="38" width="7" bestFit="1" customWidth="1"/>
    <col min="39" max="39" width="7.109375" bestFit="1" customWidth="1"/>
    <col min="40" max="40" width="10.77734375" bestFit="1" customWidth="1"/>
  </cols>
  <sheetData>
    <row r="1" spans="1:22" ht="18">
      <c r="A1" s="46" t="s">
        <v>52</v>
      </c>
      <c r="B1" s="47"/>
      <c r="C1" s="47"/>
      <c r="D1" s="47"/>
      <c r="E1" s="47"/>
      <c r="Q1" t="s">
        <v>51</v>
      </c>
    </row>
    <row r="2" spans="1:22" ht="15.6">
      <c r="H2" s="38" t="s">
        <v>53</v>
      </c>
      <c r="R2" s="37" t="s">
        <v>64</v>
      </c>
      <c r="T2" s="37" t="s">
        <v>63</v>
      </c>
      <c r="V2" s="37" t="s">
        <v>55</v>
      </c>
    </row>
    <row r="3" spans="1:22">
      <c r="A3" s="19" t="s">
        <v>52</v>
      </c>
      <c r="B3" s="37" t="s">
        <v>66</v>
      </c>
      <c r="C3" s="37"/>
      <c r="D3" s="37"/>
      <c r="N3" t="s">
        <v>51</v>
      </c>
      <c r="R3" s="39">
        <v>1034734</v>
      </c>
      <c r="T3" s="40">
        <v>214</v>
      </c>
      <c r="V3" s="37">
        <v>4835.2056074766351</v>
      </c>
    </row>
    <row r="4" spans="1:22">
      <c r="A4" s="20" t="s">
        <v>29</v>
      </c>
      <c r="B4" s="37">
        <v>127987</v>
      </c>
      <c r="C4" s="37"/>
      <c r="D4" s="37"/>
      <c r="H4" s="19" t="s">
        <v>53</v>
      </c>
      <c r="I4" t="s">
        <v>99</v>
      </c>
      <c r="K4" s="19" t="s">
        <v>107</v>
      </c>
      <c r="L4" t="s">
        <v>106</v>
      </c>
      <c r="O4" s="19" t="s">
        <v>56</v>
      </c>
      <c r="P4" s="37" t="s">
        <v>75</v>
      </c>
    </row>
    <row r="5" spans="1:22">
      <c r="A5" s="20" t="s">
        <v>30</v>
      </c>
      <c r="B5" s="37">
        <v>305423</v>
      </c>
      <c r="C5" s="37"/>
      <c r="D5" s="37"/>
      <c r="H5" s="20" t="s">
        <v>29</v>
      </c>
      <c r="I5" s="52">
        <v>30</v>
      </c>
      <c r="K5" s="20" t="s">
        <v>29</v>
      </c>
      <c r="L5" s="52">
        <v>2561</v>
      </c>
      <c r="O5" s="20" t="s">
        <v>29</v>
      </c>
      <c r="P5" s="37">
        <v>4266.2333333333336</v>
      </c>
    </row>
    <row r="6" spans="1:22">
      <c r="A6" s="20" t="s">
        <v>26</v>
      </c>
      <c r="B6" s="37">
        <v>455491</v>
      </c>
      <c r="C6" s="37"/>
      <c r="D6" s="37"/>
      <c r="H6" s="20" t="s">
        <v>30</v>
      </c>
      <c r="I6" s="52">
        <v>60</v>
      </c>
      <c r="K6" s="20" t="s">
        <v>30</v>
      </c>
      <c r="L6" s="52">
        <v>6898</v>
      </c>
      <c r="O6" s="20" t="s">
        <v>30</v>
      </c>
      <c r="P6" s="37">
        <v>5090.3833333333332</v>
      </c>
    </row>
    <row r="7" spans="1:22">
      <c r="A7" s="20" t="s">
        <v>32</v>
      </c>
      <c r="B7" s="37">
        <v>145833</v>
      </c>
      <c r="C7" s="37"/>
      <c r="D7" s="37"/>
      <c r="H7" s="20" t="s">
        <v>26</v>
      </c>
      <c r="I7" s="52">
        <v>93</v>
      </c>
      <c r="K7" s="20" t="s">
        <v>26</v>
      </c>
      <c r="L7" s="52">
        <v>10278</v>
      </c>
      <c r="O7" s="20" t="s">
        <v>26</v>
      </c>
      <c r="P7" s="37">
        <v>4897.7526881720432</v>
      </c>
    </row>
    <row r="8" spans="1:22">
      <c r="A8" s="20" t="s">
        <v>67</v>
      </c>
      <c r="B8" s="37">
        <v>1034734</v>
      </c>
      <c r="C8" s="37"/>
      <c r="D8" s="37"/>
      <c r="H8" s="20" t="s">
        <v>32</v>
      </c>
      <c r="I8" s="52">
        <v>31</v>
      </c>
      <c r="K8" s="20" t="s">
        <v>32</v>
      </c>
      <c r="L8" s="52">
        <v>3268</v>
      </c>
      <c r="O8" s="20" t="s">
        <v>32</v>
      </c>
      <c r="P8" s="37">
        <v>4704.2903225806449</v>
      </c>
    </row>
    <row r="9" spans="1:22">
      <c r="H9" s="20" t="s">
        <v>67</v>
      </c>
      <c r="I9" s="52">
        <v>214</v>
      </c>
      <c r="K9" s="20" t="s">
        <v>67</v>
      </c>
      <c r="L9" s="52">
        <v>23005</v>
      </c>
      <c r="O9" s="20" t="s">
        <v>67</v>
      </c>
      <c r="P9" s="37">
        <v>4835.2056074766351</v>
      </c>
    </row>
    <row r="10" spans="1:22">
      <c r="H10" s="20"/>
      <c r="O10" s="20"/>
      <c r="P10" s="37"/>
      <c r="R10" t="s">
        <v>51</v>
      </c>
    </row>
    <row r="11" spans="1:22">
      <c r="H11" s="20"/>
      <c r="O11" s="20"/>
      <c r="P11" s="37"/>
    </row>
    <row r="12" spans="1:22">
      <c r="H12" s="20"/>
      <c r="K12" s="19" t="s">
        <v>24</v>
      </c>
      <c r="L12" t="s" vm="2">
        <v>103</v>
      </c>
      <c r="O12" s="20"/>
      <c r="P12" s="37"/>
    </row>
    <row r="13" spans="1:22">
      <c r="H13" s="20"/>
      <c r="O13" s="20"/>
      <c r="P13" s="37"/>
    </row>
    <row r="14" spans="1:22">
      <c r="H14" s="20"/>
      <c r="K14" s="19" t="s">
        <v>25</v>
      </c>
      <c r="L14" t="s">
        <v>66</v>
      </c>
      <c r="O14" s="20"/>
      <c r="P14" s="37"/>
    </row>
    <row r="15" spans="1:22">
      <c r="H15" s="20"/>
      <c r="I15" t="s">
        <v>51</v>
      </c>
      <c r="K15" s="20" t="s">
        <v>39</v>
      </c>
      <c r="L15" s="37">
        <v>416689</v>
      </c>
      <c r="O15" s="20"/>
      <c r="P15" s="37"/>
      <c r="Q15" t="s">
        <v>51</v>
      </c>
      <c r="V15" t="s">
        <v>51</v>
      </c>
    </row>
    <row r="16" spans="1:22">
      <c r="K16" s="20" t="s">
        <v>44</v>
      </c>
      <c r="L16" s="37">
        <v>185089</v>
      </c>
    </row>
    <row r="17" spans="1:18">
      <c r="A17" s="19" t="s">
        <v>22</v>
      </c>
      <c r="B17" t="s" vm="1">
        <v>103</v>
      </c>
      <c r="K17" s="20" t="s">
        <v>28</v>
      </c>
      <c r="L17" s="37">
        <v>342341</v>
      </c>
    </row>
    <row r="18" spans="1:18">
      <c r="K18" s="20" t="s">
        <v>35</v>
      </c>
      <c r="L18" s="37">
        <v>90615</v>
      </c>
      <c r="Q18" s="19" t="s">
        <v>105</v>
      </c>
      <c r="R18" s="37" t="s">
        <v>66</v>
      </c>
    </row>
    <row r="19" spans="1:18">
      <c r="A19" s="19" t="s">
        <v>58</v>
      </c>
      <c r="B19" s="37" t="s">
        <v>66</v>
      </c>
      <c r="C19" s="37"/>
      <c r="D19" s="37"/>
      <c r="K19" s="20" t="s">
        <v>67</v>
      </c>
      <c r="L19" s="37">
        <v>1034734</v>
      </c>
      <c r="Q19" s="20">
        <v>2019</v>
      </c>
      <c r="R19" s="37">
        <v>94663</v>
      </c>
    </row>
    <row r="20" spans="1:18">
      <c r="A20" s="20" t="s">
        <v>0</v>
      </c>
      <c r="B20" s="39">
        <v>131713</v>
      </c>
      <c r="C20" s="39"/>
      <c r="D20" s="39"/>
      <c r="G20" s="19" t="s">
        <v>62</v>
      </c>
      <c r="H20" s="37" t="s">
        <v>66</v>
      </c>
      <c r="M20" s="19" t="s">
        <v>59</v>
      </c>
      <c r="N20" s="37" t="s">
        <v>99</v>
      </c>
      <c r="Q20" s="20">
        <v>2020</v>
      </c>
      <c r="R20" s="37">
        <v>940071</v>
      </c>
    </row>
    <row r="21" spans="1:18">
      <c r="A21" s="20" t="s">
        <v>11</v>
      </c>
      <c r="B21" s="39">
        <v>94745</v>
      </c>
      <c r="C21" s="39"/>
      <c r="D21" s="39"/>
      <c r="G21" s="20" t="s">
        <v>4</v>
      </c>
      <c r="H21" s="22">
        <v>0.67463618669145886</v>
      </c>
      <c r="M21" s="20" t="s">
        <v>8</v>
      </c>
      <c r="N21" s="37">
        <v>40</v>
      </c>
      <c r="Q21" s="20" t="s">
        <v>67</v>
      </c>
      <c r="R21" s="37">
        <v>1034734</v>
      </c>
    </row>
    <row r="22" spans="1:18">
      <c r="A22" s="20" t="s">
        <v>84</v>
      </c>
      <c r="B22" s="39">
        <v>5000</v>
      </c>
      <c r="C22" s="39"/>
      <c r="D22" s="39"/>
      <c r="G22" s="20" t="s">
        <v>1</v>
      </c>
      <c r="H22" s="22">
        <v>0.32536381330854114</v>
      </c>
      <c r="M22" s="20" t="s">
        <v>13</v>
      </c>
      <c r="N22" s="37">
        <v>72</v>
      </c>
    </row>
    <row r="23" spans="1:18">
      <c r="A23" s="20" t="s">
        <v>6</v>
      </c>
      <c r="B23" s="39">
        <v>141056</v>
      </c>
      <c r="C23" s="39"/>
      <c r="D23" s="39"/>
      <c r="G23" s="20" t="s">
        <v>67</v>
      </c>
      <c r="H23" s="22">
        <v>1</v>
      </c>
      <c r="M23" s="20" t="s">
        <v>7</v>
      </c>
      <c r="N23" s="37">
        <v>13</v>
      </c>
    </row>
    <row r="24" spans="1:18">
      <c r="A24" s="20" t="s">
        <v>9</v>
      </c>
      <c r="B24" s="39">
        <v>155168</v>
      </c>
      <c r="C24" s="39"/>
      <c r="D24" s="39"/>
      <c r="M24" s="20" t="s">
        <v>14</v>
      </c>
      <c r="N24" s="37">
        <v>27</v>
      </c>
      <c r="R24" t="s">
        <v>51</v>
      </c>
    </row>
    <row r="25" spans="1:18">
      <c r="A25" s="20" t="s">
        <v>10</v>
      </c>
      <c r="B25" s="39">
        <v>66782</v>
      </c>
      <c r="C25" s="39"/>
      <c r="D25" s="39"/>
      <c r="M25" s="20" t="s">
        <v>2</v>
      </c>
      <c r="N25" s="37">
        <v>27</v>
      </c>
    </row>
    <row r="26" spans="1:18">
      <c r="A26" s="20" t="s">
        <v>12</v>
      </c>
      <c r="B26" s="39">
        <v>173137</v>
      </c>
      <c r="C26" s="39"/>
      <c r="D26" s="39"/>
      <c r="M26" s="20" t="s">
        <v>15</v>
      </c>
      <c r="N26" s="37">
        <v>11</v>
      </c>
    </row>
    <row r="27" spans="1:18">
      <c r="A27" s="20" t="s">
        <v>3</v>
      </c>
      <c r="B27" s="39">
        <v>267133</v>
      </c>
      <c r="C27" s="39"/>
      <c r="D27" s="39"/>
      <c r="J27" s="19" t="s">
        <v>24</v>
      </c>
      <c r="K27" t="s" vm="2">
        <v>103</v>
      </c>
      <c r="M27" s="20" t="s">
        <v>5</v>
      </c>
      <c r="N27" s="37">
        <v>24</v>
      </c>
    </row>
    <row r="28" spans="1:18">
      <c r="A28" s="20" t="s">
        <v>67</v>
      </c>
      <c r="B28" s="39">
        <v>1034734</v>
      </c>
      <c r="C28" s="39"/>
      <c r="D28" s="39"/>
      <c r="M28" s="20" t="s">
        <v>67</v>
      </c>
      <c r="N28" s="37">
        <v>214</v>
      </c>
    </row>
    <row r="29" spans="1:18">
      <c r="A29" s="20"/>
      <c r="B29" s="39"/>
      <c r="C29" s="39"/>
      <c r="D29" s="39"/>
      <c r="J29" s="19" t="s">
        <v>107</v>
      </c>
      <c r="K29" t="s">
        <v>66</v>
      </c>
      <c r="M29" s="20"/>
      <c r="N29" s="37"/>
    </row>
    <row r="30" spans="1:18">
      <c r="J30" s="20" t="s">
        <v>29</v>
      </c>
      <c r="K30" s="39">
        <v>127987</v>
      </c>
    </row>
    <row r="31" spans="1:18">
      <c r="J31" s="20" t="s">
        <v>30</v>
      </c>
      <c r="K31" s="39">
        <v>305423</v>
      </c>
    </row>
    <row r="32" spans="1:18">
      <c r="A32" s="19" t="s">
        <v>100</v>
      </c>
      <c r="B32" s="37" t="s">
        <v>66</v>
      </c>
      <c r="C32" s="37"/>
      <c r="D32" s="37"/>
      <c r="G32" s="19" t="s">
        <v>54</v>
      </c>
      <c r="H32" s="37" t="s">
        <v>66</v>
      </c>
      <c r="J32" s="20" t="s">
        <v>26</v>
      </c>
      <c r="K32" s="39">
        <v>455491</v>
      </c>
    </row>
    <row r="33" spans="1:18">
      <c r="A33" s="20" t="s">
        <v>0</v>
      </c>
      <c r="B33" s="37"/>
      <c r="C33" s="37"/>
      <c r="D33" s="37"/>
      <c r="G33" s="20" t="s">
        <v>38</v>
      </c>
      <c r="H33" s="37">
        <v>129501</v>
      </c>
      <c r="J33" s="20" t="s">
        <v>32</v>
      </c>
      <c r="K33" s="39">
        <v>145833</v>
      </c>
      <c r="M33" s="19" t="s">
        <v>104</v>
      </c>
      <c r="N33" s="19" t="s">
        <v>102</v>
      </c>
    </row>
    <row r="34" spans="1:18">
      <c r="A34" s="41" t="s">
        <v>4</v>
      </c>
      <c r="B34" s="37">
        <v>91221</v>
      </c>
      <c r="C34" s="37"/>
      <c r="D34" s="37"/>
      <c r="G34" s="20" t="s">
        <v>40</v>
      </c>
      <c r="H34" s="37">
        <v>69826</v>
      </c>
      <c r="J34" s="20" t="s">
        <v>67</v>
      </c>
      <c r="K34" s="39">
        <v>1034734</v>
      </c>
      <c r="M34" s="19" t="s">
        <v>101</v>
      </c>
      <c r="N34" t="s">
        <v>29</v>
      </c>
      <c r="O34" t="s">
        <v>30</v>
      </c>
      <c r="P34" t="s">
        <v>26</v>
      </c>
      <c r="Q34" t="s">
        <v>32</v>
      </c>
      <c r="R34" t="s">
        <v>67</v>
      </c>
    </row>
    <row r="35" spans="1:18">
      <c r="A35" s="41" t="s">
        <v>1</v>
      </c>
      <c r="B35" s="37">
        <v>40492</v>
      </c>
      <c r="C35" s="37"/>
      <c r="D35" s="37"/>
      <c r="G35" s="20" t="s">
        <v>41</v>
      </c>
      <c r="H35" s="37">
        <v>79722</v>
      </c>
      <c r="M35" s="20" t="s">
        <v>0</v>
      </c>
      <c r="N35" s="37"/>
      <c r="O35" s="37"/>
      <c r="P35" s="37"/>
      <c r="Q35" s="37"/>
      <c r="R35" s="37"/>
    </row>
    <row r="36" spans="1:18">
      <c r="A36" s="20" t="s">
        <v>11</v>
      </c>
      <c r="B36" s="37"/>
      <c r="C36" s="37"/>
      <c r="D36" s="37"/>
      <c r="G36" s="20" t="s">
        <v>42</v>
      </c>
      <c r="H36" s="37">
        <v>132640</v>
      </c>
      <c r="M36" s="41" t="s">
        <v>4</v>
      </c>
      <c r="N36" s="37"/>
      <c r="O36" s="37"/>
      <c r="P36" s="37"/>
      <c r="Q36" s="37"/>
      <c r="R36" s="37"/>
    </row>
    <row r="37" spans="1:18">
      <c r="A37" s="41" t="s">
        <v>4</v>
      </c>
      <c r="B37" s="37">
        <v>82338</v>
      </c>
      <c r="C37" s="37"/>
      <c r="D37" s="37"/>
      <c r="G37" s="20" t="s">
        <v>43</v>
      </c>
      <c r="H37" s="37">
        <v>112298</v>
      </c>
      <c r="M37" s="42" t="s">
        <v>8</v>
      </c>
      <c r="N37" s="37"/>
      <c r="O37" s="37">
        <v>9982</v>
      </c>
      <c r="P37" s="37">
        <v>1760</v>
      </c>
      <c r="Q37" s="37">
        <v>8892</v>
      </c>
      <c r="R37" s="37">
        <v>20634</v>
      </c>
    </row>
    <row r="38" spans="1:18">
      <c r="A38" s="41" t="s">
        <v>1</v>
      </c>
      <c r="B38" s="37">
        <v>12407</v>
      </c>
      <c r="C38" s="37"/>
      <c r="D38" s="37"/>
      <c r="G38" s="20" t="s">
        <v>45</v>
      </c>
      <c r="H38" s="37">
        <v>72791</v>
      </c>
      <c r="M38" s="42" t="s">
        <v>13</v>
      </c>
      <c r="N38" s="37">
        <v>8066</v>
      </c>
      <c r="O38" s="37">
        <v>13835</v>
      </c>
      <c r="P38" s="37">
        <v>21806</v>
      </c>
      <c r="Q38" s="37">
        <v>9014</v>
      </c>
      <c r="R38" s="37">
        <v>52721</v>
      </c>
    </row>
    <row r="39" spans="1:18">
      <c r="A39" s="20" t="s">
        <v>84</v>
      </c>
      <c r="B39" s="37"/>
      <c r="C39" s="37"/>
      <c r="D39" s="37"/>
      <c r="G39" s="20" t="s">
        <v>27</v>
      </c>
      <c r="H39" s="37">
        <v>69701</v>
      </c>
      <c r="M39" s="42" t="s">
        <v>15</v>
      </c>
      <c r="N39" s="37"/>
      <c r="O39" s="37">
        <v>3663</v>
      </c>
      <c r="P39" s="37">
        <v>5523</v>
      </c>
      <c r="Q39" s="37"/>
      <c r="R39" s="37">
        <v>9186</v>
      </c>
    </row>
    <row r="40" spans="1:18">
      <c r="A40" s="41" t="s">
        <v>4</v>
      </c>
      <c r="B40" s="37">
        <v>5000</v>
      </c>
      <c r="C40" s="37"/>
      <c r="D40" s="37"/>
      <c r="G40" s="20" t="s">
        <v>31</v>
      </c>
      <c r="H40" s="37">
        <v>112077</v>
      </c>
      <c r="M40" s="42" t="s">
        <v>5</v>
      </c>
      <c r="N40" s="37"/>
      <c r="O40" s="37"/>
      <c r="P40" s="37">
        <v>8680</v>
      </c>
      <c r="Q40" s="37"/>
      <c r="R40" s="37">
        <v>8680</v>
      </c>
    </row>
    <row r="41" spans="1:18">
      <c r="A41" s="20" t="s">
        <v>6</v>
      </c>
      <c r="B41" s="37"/>
      <c r="C41" s="37"/>
      <c r="D41" s="37"/>
      <c r="G41" s="20" t="s">
        <v>33</v>
      </c>
      <c r="H41" s="37">
        <v>151549</v>
      </c>
      <c r="M41" s="41" t="s">
        <v>1</v>
      </c>
      <c r="N41" s="37"/>
      <c r="O41" s="37"/>
      <c r="P41" s="37"/>
      <c r="Q41" s="37"/>
      <c r="R41" s="37"/>
    </row>
    <row r="42" spans="1:18">
      <c r="A42" s="41" t="s">
        <v>4</v>
      </c>
      <c r="B42" s="37">
        <v>125931</v>
      </c>
      <c r="G42" s="20" t="s">
        <v>34</v>
      </c>
      <c r="H42" s="37">
        <v>67764</v>
      </c>
      <c r="M42" s="42" t="s">
        <v>7</v>
      </c>
      <c r="N42" s="37"/>
      <c r="O42" s="37">
        <v>5015</v>
      </c>
      <c r="P42" s="37">
        <v>1002</v>
      </c>
      <c r="Q42" s="37">
        <v>8416</v>
      </c>
      <c r="R42" s="37">
        <v>14433</v>
      </c>
    </row>
    <row r="43" spans="1:18">
      <c r="A43" s="41" t="s">
        <v>1</v>
      </c>
      <c r="B43" s="37">
        <v>15125</v>
      </c>
      <c r="G43" s="20" t="s">
        <v>36</v>
      </c>
      <c r="H43" s="37">
        <v>21005</v>
      </c>
      <c r="M43" s="42" t="s">
        <v>14</v>
      </c>
      <c r="N43" s="37"/>
      <c r="O43" s="37"/>
      <c r="P43" s="37">
        <v>17953</v>
      </c>
      <c r="Q43" s="37"/>
      <c r="R43" s="37">
        <v>17953</v>
      </c>
    </row>
    <row r="44" spans="1:18">
      <c r="A44" s="20" t="s">
        <v>9</v>
      </c>
      <c r="B44" s="37"/>
      <c r="G44" s="20" t="s">
        <v>37</v>
      </c>
      <c r="H44" s="37">
        <v>6846</v>
      </c>
      <c r="M44" s="42" t="s">
        <v>2</v>
      </c>
      <c r="N44" s="37"/>
      <c r="O44" s="37">
        <v>339</v>
      </c>
      <c r="P44" s="37">
        <v>7767</v>
      </c>
      <c r="Q44" s="37"/>
      <c r="R44" s="37">
        <v>8106</v>
      </c>
    </row>
    <row r="45" spans="1:18">
      <c r="A45" s="41" t="s">
        <v>4</v>
      </c>
      <c r="B45" s="37">
        <v>66430</v>
      </c>
      <c r="G45" s="20" t="s">
        <v>47</v>
      </c>
      <c r="H45" s="37">
        <v>9014</v>
      </c>
      <c r="M45" s="20" t="s">
        <v>11</v>
      </c>
      <c r="N45" s="37"/>
      <c r="O45" s="37"/>
      <c r="P45" s="37"/>
      <c r="Q45" s="37"/>
      <c r="R45" s="37"/>
    </row>
    <row r="46" spans="1:18">
      <c r="A46" s="41" t="s">
        <v>1</v>
      </c>
      <c r="B46" s="37">
        <v>88738</v>
      </c>
      <c r="G46" s="20" t="s">
        <v>67</v>
      </c>
      <c r="H46" s="37">
        <v>1034734</v>
      </c>
      <c r="M46" s="41" t="s">
        <v>4</v>
      </c>
      <c r="N46" s="37"/>
      <c r="O46" s="37"/>
      <c r="P46" s="37"/>
      <c r="Q46" s="37"/>
      <c r="R46" s="37"/>
    </row>
    <row r="47" spans="1:18">
      <c r="A47" s="20" t="s">
        <v>10</v>
      </c>
      <c r="B47" s="37"/>
      <c r="M47" s="42" t="s">
        <v>8</v>
      </c>
      <c r="N47" s="37">
        <v>2763</v>
      </c>
      <c r="O47" s="37">
        <v>7333</v>
      </c>
      <c r="P47" s="37">
        <v>14771</v>
      </c>
      <c r="Q47" s="37"/>
      <c r="R47" s="37">
        <v>24867</v>
      </c>
    </row>
    <row r="48" spans="1:18">
      <c r="A48" s="41" t="s">
        <v>4</v>
      </c>
      <c r="B48" s="37">
        <v>62392</v>
      </c>
      <c r="M48" s="42" t="s">
        <v>13</v>
      </c>
      <c r="N48" s="37">
        <v>3642</v>
      </c>
      <c r="O48" s="37">
        <v>14526</v>
      </c>
      <c r="P48" s="37">
        <v>15607</v>
      </c>
      <c r="Q48" s="37"/>
      <c r="R48" s="37">
        <v>33775</v>
      </c>
    </row>
    <row r="49" spans="1:18">
      <c r="A49" s="41" t="s">
        <v>1</v>
      </c>
      <c r="B49" s="37">
        <v>4390</v>
      </c>
      <c r="M49" s="42" t="s">
        <v>15</v>
      </c>
      <c r="N49" s="37"/>
      <c r="O49" s="37"/>
      <c r="P49" s="37">
        <v>3767</v>
      </c>
      <c r="Q49" s="37"/>
      <c r="R49" s="37">
        <v>3767</v>
      </c>
    </row>
    <row r="50" spans="1:18">
      <c r="A50" s="20" t="s">
        <v>12</v>
      </c>
      <c r="B50" s="37"/>
      <c r="M50" s="42" t="s">
        <v>5</v>
      </c>
      <c r="N50" s="37"/>
      <c r="O50" s="37"/>
      <c r="P50" s="37">
        <v>9939</v>
      </c>
      <c r="Q50" s="37">
        <v>9990</v>
      </c>
      <c r="R50" s="37">
        <v>19929</v>
      </c>
    </row>
    <row r="51" spans="1:18">
      <c r="A51" s="41" t="s">
        <v>4</v>
      </c>
      <c r="B51" s="37">
        <v>87786</v>
      </c>
      <c r="M51" s="41" t="s">
        <v>1</v>
      </c>
      <c r="N51" s="37"/>
      <c r="O51" s="37"/>
      <c r="P51" s="37"/>
      <c r="Q51" s="37"/>
      <c r="R51" s="37"/>
    </row>
    <row r="52" spans="1:18">
      <c r="A52" s="41" t="s">
        <v>1</v>
      </c>
      <c r="B52" s="37">
        <v>85351</v>
      </c>
      <c r="M52" s="42" t="s">
        <v>14</v>
      </c>
      <c r="N52" s="37"/>
      <c r="O52" s="37">
        <v>9231</v>
      </c>
      <c r="P52" s="37">
        <v>352</v>
      </c>
      <c r="Q52" s="37">
        <v>2824</v>
      </c>
      <c r="R52" s="37">
        <v>12407</v>
      </c>
    </row>
    <row r="53" spans="1:18">
      <c r="A53" s="20" t="s">
        <v>3</v>
      </c>
      <c r="B53" s="37"/>
      <c r="M53" s="20" t="s">
        <v>84</v>
      </c>
      <c r="N53" s="37"/>
      <c r="O53" s="37"/>
      <c r="P53" s="37"/>
      <c r="Q53" s="37"/>
      <c r="R53" s="37"/>
    </row>
    <row r="54" spans="1:18">
      <c r="A54" s="41" t="s">
        <v>4</v>
      </c>
      <c r="B54" s="37">
        <v>176971</v>
      </c>
      <c r="M54" s="41" t="s">
        <v>4</v>
      </c>
      <c r="N54" s="37"/>
      <c r="O54" s="37"/>
      <c r="P54" s="37"/>
      <c r="Q54" s="37"/>
      <c r="R54" s="37"/>
    </row>
    <row r="55" spans="1:18">
      <c r="A55" s="41" t="s">
        <v>1</v>
      </c>
      <c r="B55" s="37">
        <v>90162</v>
      </c>
      <c r="M55" s="42" t="s">
        <v>13</v>
      </c>
      <c r="N55" s="37"/>
      <c r="O55" s="37">
        <v>5000</v>
      </c>
      <c r="P55" s="37"/>
      <c r="Q55" s="37"/>
      <c r="R55" s="37">
        <v>5000</v>
      </c>
    </row>
    <row r="56" spans="1:18">
      <c r="A56" s="20" t="s">
        <v>67</v>
      </c>
      <c r="B56" s="37">
        <v>1034734</v>
      </c>
      <c r="M56" s="20" t="s">
        <v>6</v>
      </c>
      <c r="N56" s="37"/>
      <c r="O56" s="37"/>
      <c r="P56" s="37"/>
      <c r="Q56" s="37"/>
      <c r="R56" s="37"/>
    </row>
    <row r="57" spans="1:18">
      <c r="M57" s="41" t="s">
        <v>4</v>
      </c>
      <c r="N57" s="37"/>
      <c r="O57" s="37"/>
      <c r="P57" s="37"/>
      <c r="Q57" s="37"/>
      <c r="R57" s="37"/>
    </row>
    <row r="58" spans="1:18">
      <c r="M58" s="42" t="s">
        <v>8</v>
      </c>
      <c r="N58" s="37">
        <v>28602</v>
      </c>
      <c r="O58" s="37">
        <v>24326</v>
      </c>
      <c r="P58" s="37">
        <v>15241</v>
      </c>
      <c r="Q58" s="37">
        <v>12024</v>
      </c>
      <c r="R58" s="37">
        <v>80193</v>
      </c>
    </row>
    <row r="59" spans="1:18">
      <c r="M59" s="42" t="s">
        <v>13</v>
      </c>
      <c r="N59" s="37"/>
      <c r="O59" s="37">
        <v>9543</v>
      </c>
      <c r="P59" s="37">
        <v>19407</v>
      </c>
      <c r="Q59" s="37">
        <v>7144</v>
      </c>
      <c r="R59" s="37">
        <v>36094</v>
      </c>
    </row>
    <row r="60" spans="1:18">
      <c r="M60" s="42" t="s">
        <v>15</v>
      </c>
      <c r="N60" s="37"/>
      <c r="O60" s="37"/>
      <c r="P60" s="37">
        <v>7388</v>
      </c>
      <c r="Q60" s="37"/>
      <c r="R60" s="37">
        <v>7388</v>
      </c>
    </row>
    <row r="61" spans="1:18">
      <c r="M61" s="42" t="s">
        <v>5</v>
      </c>
      <c r="N61" s="37"/>
      <c r="O61" s="37">
        <v>2256</v>
      </c>
      <c r="P61" s="37"/>
      <c r="Q61" s="37"/>
      <c r="R61" s="37">
        <v>2256</v>
      </c>
    </row>
    <row r="62" spans="1:18">
      <c r="M62" s="41" t="s">
        <v>1</v>
      </c>
      <c r="N62" s="37"/>
      <c r="O62" s="37"/>
      <c r="P62" s="37"/>
      <c r="Q62" s="37"/>
      <c r="R62" s="37"/>
    </row>
    <row r="63" spans="1:18">
      <c r="M63" s="42" t="s">
        <v>7</v>
      </c>
      <c r="N63" s="37"/>
      <c r="O63" s="37"/>
      <c r="P63" s="37">
        <v>680</v>
      </c>
      <c r="Q63" s="37"/>
      <c r="R63" s="37">
        <v>680</v>
      </c>
    </row>
    <row r="64" spans="1:18">
      <c r="M64" s="42" t="s">
        <v>14</v>
      </c>
      <c r="N64" s="37"/>
      <c r="O64" s="37"/>
      <c r="P64" s="37">
        <v>5341</v>
      </c>
      <c r="Q64" s="37"/>
      <c r="R64" s="37">
        <v>5341</v>
      </c>
    </row>
    <row r="65" spans="13:18">
      <c r="M65" s="42" t="s">
        <v>2</v>
      </c>
      <c r="N65" s="37"/>
      <c r="O65" s="37">
        <v>9104</v>
      </c>
      <c r="P65" s="37"/>
      <c r="Q65" s="37"/>
      <c r="R65" s="37">
        <v>9104</v>
      </c>
    </row>
    <row r="66" spans="13:18">
      <c r="M66" s="20" t="s">
        <v>9</v>
      </c>
      <c r="N66" s="37"/>
      <c r="O66" s="37"/>
      <c r="P66" s="37"/>
      <c r="Q66" s="37"/>
      <c r="R66" s="37"/>
    </row>
    <row r="67" spans="13:18">
      <c r="M67" s="41" t="s">
        <v>4</v>
      </c>
      <c r="N67" s="37"/>
      <c r="O67" s="37"/>
      <c r="P67" s="37"/>
      <c r="Q67" s="37"/>
      <c r="R67" s="37"/>
    </row>
    <row r="68" spans="13:18">
      <c r="M68" s="42" t="s">
        <v>8</v>
      </c>
      <c r="N68" s="37"/>
      <c r="O68" s="37"/>
      <c r="P68" s="37">
        <v>8752</v>
      </c>
      <c r="Q68" s="37">
        <v>330</v>
      </c>
      <c r="R68" s="37">
        <v>9082</v>
      </c>
    </row>
    <row r="69" spans="13:18">
      <c r="M69" s="42" t="s">
        <v>13</v>
      </c>
      <c r="N69" s="37">
        <v>14336</v>
      </c>
      <c r="O69" s="37">
        <v>9046</v>
      </c>
      <c r="P69" s="37">
        <v>13468</v>
      </c>
      <c r="Q69" s="37">
        <v>2836</v>
      </c>
      <c r="R69" s="37">
        <v>39686</v>
      </c>
    </row>
    <row r="70" spans="13:18">
      <c r="M70" s="42" t="s">
        <v>15</v>
      </c>
      <c r="N70" s="37"/>
      <c r="O70" s="37">
        <v>8775</v>
      </c>
      <c r="P70" s="37"/>
      <c r="Q70" s="37"/>
      <c r="R70" s="37">
        <v>8775</v>
      </c>
    </row>
    <row r="71" spans="13:18">
      <c r="M71" s="42" t="s">
        <v>5</v>
      </c>
      <c r="N71" s="37"/>
      <c r="O71" s="37"/>
      <c r="P71" s="37">
        <v>8887</v>
      </c>
      <c r="Q71" s="37"/>
      <c r="R71" s="37">
        <v>8887</v>
      </c>
    </row>
    <row r="72" spans="13:18">
      <c r="M72" s="41" t="s">
        <v>1</v>
      </c>
      <c r="N72" s="37"/>
      <c r="O72" s="37"/>
      <c r="P72" s="37"/>
      <c r="Q72" s="37"/>
      <c r="R72" s="37"/>
    </row>
    <row r="73" spans="13:18">
      <c r="M73" s="42" t="s">
        <v>7</v>
      </c>
      <c r="N73" s="37">
        <v>6045</v>
      </c>
      <c r="O73" s="37">
        <v>16133</v>
      </c>
      <c r="P73" s="37">
        <v>5101</v>
      </c>
      <c r="Q73" s="37">
        <v>2626</v>
      </c>
      <c r="R73" s="37">
        <v>29905</v>
      </c>
    </row>
    <row r="74" spans="13:18">
      <c r="M74" s="42" t="s">
        <v>14</v>
      </c>
      <c r="N74" s="37">
        <v>561</v>
      </c>
      <c r="O74" s="37">
        <v>4483</v>
      </c>
      <c r="P74" s="37">
        <v>32153</v>
      </c>
      <c r="Q74" s="37"/>
      <c r="R74" s="37">
        <v>37197</v>
      </c>
    </row>
    <row r="75" spans="13:18">
      <c r="M75" s="42" t="s">
        <v>2</v>
      </c>
      <c r="N75" s="37">
        <v>7931</v>
      </c>
      <c r="O75" s="37"/>
      <c r="P75" s="37">
        <v>7251</v>
      </c>
      <c r="Q75" s="37">
        <v>6454</v>
      </c>
      <c r="R75" s="37">
        <v>21636</v>
      </c>
    </row>
    <row r="76" spans="13:18">
      <c r="M76" s="20" t="s">
        <v>10</v>
      </c>
      <c r="N76" s="37"/>
      <c r="O76" s="37"/>
      <c r="P76" s="37"/>
      <c r="Q76" s="37"/>
      <c r="R76" s="37"/>
    </row>
    <row r="77" spans="13:18">
      <c r="M77" s="41" t="s">
        <v>4</v>
      </c>
      <c r="N77" s="37"/>
      <c r="O77" s="37"/>
      <c r="P77" s="37"/>
      <c r="Q77" s="37"/>
      <c r="R77" s="37"/>
    </row>
    <row r="78" spans="13:18">
      <c r="M78" s="42" t="s">
        <v>8</v>
      </c>
      <c r="N78" s="37"/>
      <c r="O78" s="37"/>
      <c r="P78" s="37">
        <v>4512</v>
      </c>
      <c r="Q78" s="37">
        <v>5820</v>
      </c>
      <c r="R78" s="37">
        <v>10332</v>
      </c>
    </row>
    <row r="79" spans="13:18">
      <c r="M79" s="42" t="s">
        <v>13</v>
      </c>
      <c r="N79" s="37">
        <v>15063</v>
      </c>
      <c r="O79" s="37">
        <v>4904</v>
      </c>
      <c r="P79" s="37">
        <v>20083</v>
      </c>
      <c r="Q79" s="37"/>
      <c r="R79" s="37">
        <v>40050</v>
      </c>
    </row>
    <row r="80" spans="13:18">
      <c r="M80" s="42" t="s">
        <v>5</v>
      </c>
      <c r="N80" s="37"/>
      <c r="O80" s="37">
        <v>850</v>
      </c>
      <c r="P80" s="37">
        <v>4819</v>
      </c>
      <c r="Q80" s="37">
        <v>6341</v>
      </c>
      <c r="R80" s="37">
        <v>12010</v>
      </c>
    </row>
    <row r="81" spans="13:18">
      <c r="M81" s="41" t="s">
        <v>1</v>
      </c>
      <c r="N81" s="37"/>
      <c r="O81" s="37"/>
      <c r="P81" s="37"/>
      <c r="Q81" s="37"/>
      <c r="R81" s="37"/>
    </row>
    <row r="82" spans="13:18">
      <c r="M82" s="42" t="s">
        <v>14</v>
      </c>
      <c r="N82" s="37"/>
      <c r="O82" s="37">
        <v>4390</v>
      </c>
      <c r="P82" s="37"/>
      <c r="Q82" s="37"/>
      <c r="R82" s="37">
        <v>4390</v>
      </c>
    </row>
    <row r="83" spans="13:18">
      <c r="M83" s="20" t="s">
        <v>12</v>
      </c>
      <c r="N83" s="37"/>
      <c r="O83" s="37"/>
      <c r="P83" s="37"/>
      <c r="Q83" s="37"/>
      <c r="R83" s="37"/>
    </row>
    <row r="84" spans="13:18">
      <c r="M84" s="41" t="s">
        <v>4</v>
      </c>
      <c r="N84" s="37"/>
      <c r="O84" s="37"/>
      <c r="P84" s="37"/>
      <c r="Q84" s="37"/>
      <c r="R84" s="37"/>
    </row>
    <row r="85" spans="13:18">
      <c r="M85" s="42" t="s">
        <v>8</v>
      </c>
      <c r="N85" s="37">
        <v>7171</v>
      </c>
      <c r="O85" s="37">
        <v>8659</v>
      </c>
      <c r="P85" s="37"/>
      <c r="Q85" s="37">
        <v>1704</v>
      </c>
      <c r="R85" s="37">
        <v>17534</v>
      </c>
    </row>
    <row r="86" spans="13:18">
      <c r="M86" s="42" t="s">
        <v>13</v>
      </c>
      <c r="N86" s="37"/>
      <c r="O86" s="37">
        <v>26024</v>
      </c>
      <c r="P86" s="37">
        <v>7898</v>
      </c>
      <c r="Q86" s="37">
        <v>8986</v>
      </c>
      <c r="R86" s="37">
        <v>42908</v>
      </c>
    </row>
    <row r="87" spans="13:18">
      <c r="M87" s="42" t="s">
        <v>15</v>
      </c>
      <c r="N87" s="37"/>
      <c r="O87" s="37"/>
      <c r="P87" s="37">
        <v>5600</v>
      </c>
      <c r="Q87" s="37"/>
      <c r="R87" s="37">
        <v>5600</v>
      </c>
    </row>
    <row r="88" spans="13:18">
      <c r="M88" s="42" t="s">
        <v>5</v>
      </c>
      <c r="N88" s="37"/>
      <c r="O88" s="37"/>
      <c r="P88" s="37">
        <v>13461</v>
      </c>
      <c r="Q88" s="37">
        <v>8283</v>
      </c>
      <c r="R88" s="37">
        <v>21744</v>
      </c>
    </row>
    <row r="89" spans="13:18">
      <c r="M89" s="41" t="s">
        <v>1</v>
      </c>
      <c r="N89" s="37"/>
      <c r="O89" s="37"/>
      <c r="P89" s="37"/>
      <c r="Q89" s="37"/>
      <c r="R89" s="37"/>
    </row>
    <row r="90" spans="13:18">
      <c r="M90" s="42" t="s">
        <v>7</v>
      </c>
      <c r="N90" s="37">
        <v>3559</v>
      </c>
      <c r="O90" s="37"/>
      <c r="P90" s="37">
        <v>1541</v>
      </c>
      <c r="Q90" s="37"/>
      <c r="R90" s="37">
        <v>5100</v>
      </c>
    </row>
    <row r="91" spans="13:18">
      <c r="M91" s="42" t="s">
        <v>14</v>
      </c>
      <c r="N91" s="37">
        <v>11834</v>
      </c>
      <c r="O91" s="37">
        <v>4065</v>
      </c>
      <c r="P91" s="37">
        <v>13167</v>
      </c>
      <c r="Q91" s="37">
        <v>9370</v>
      </c>
      <c r="R91" s="37">
        <v>38436</v>
      </c>
    </row>
    <row r="92" spans="13:18">
      <c r="M92" s="42" t="s">
        <v>2</v>
      </c>
      <c r="N92" s="37"/>
      <c r="O92" s="37">
        <v>21670</v>
      </c>
      <c r="P92" s="37">
        <v>5453</v>
      </c>
      <c r="Q92" s="37">
        <v>14692</v>
      </c>
      <c r="R92" s="37">
        <v>41815</v>
      </c>
    </row>
    <row r="93" spans="13:18">
      <c r="M93" s="20" t="s">
        <v>3</v>
      </c>
      <c r="N93" s="37"/>
      <c r="O93" s="37"/>
      <c r="P93" s="37"/>
      <c r="Q93" s="37"/>
      <c r="R93" s="37"/>
    </row>
    <row r="94" spans="13:18">
      <c r="M94" s="41" t="s">
        <v>4</v>
      </c>
      <c r="N94" s="37"/>
      <c r="O94" s="37"/>
      <c r="P94" s="37"/>
      <c r="Q94" s="37"/>
      <c r="R94" s="37"/>
    </row>
    <row r="95" spans="13:18">
      <c r="M95" s="42" t="s">
        <v>8</v>
      </c>
      <c r="N95" s="37">
        <v>1128</v>
      </c>
      <c r="O95" s="37">
        <v>13733</v>
      </c>
      <c r="P95" s="37">
        <v>13754</v>
      </c>
      <c r="Q95" s="37"/>
      <c r="R95" s="37">
        <v>28615</v>
      </c>
    </row>
    <row r="96" spans="13:18">
      <c r="M96" s="42" t="s">
        <v>13</v>
      </c>
      <c r="N96" s="37">
        <v>5701</v>
      </c>
      <c r="O96" s="37">
        <v>25941</v>
      </c>
      <c r="P96" s="37">
        <v>57588</v>
      </c>
      <c r="Q96" s="37">
        <v>5831</v>
      </c>
      <c r="R96" s="37">
        <v>95061</v>
      </c>
    </row>
    <row r="97" spans="13:18">
      <c r="M97" s="42" t="s">
        <v>15</v>
      </c>
      <c r="N97" s="37"/>
      <c r="O97" s="37"/>
      <c r="P97" s="37">
        <v>22363</v>
      </c>
      <c r="Q97" s="37"/>
      <c r="R97" s="37">
        <v>22363</v>
      </c>
    </row>
    <row r="98" spans="13:18">
      <c r="M98" s="42" t="s">
        <v>5</v>
      </c>
      <c r="N98" s="37">
        <v>6982</v>
      </c>
      <c r="O98" s="37">
        <v>14009</v>
      </c>
      <c r="P98" s="37">
        <v>9082</v>
      </c>
      <c r="Q98" s="37">
        <v>859</v>
      </c>
      <c r="R98" s="37">
        <v>30932</v>
      </c>
    </row>
    <row r="99" spans="13:18">
      <c r="M99" s="41" t="s">
        <v>1</v>
      </c>
      <c r="N99" s="37"/>
      <c r="O99" s="37"/>
      <c r="P99" s="37"/>
      <c r="Q99" s="37"/>
      <c r="R99" s="37"/>
    </row>
    <row r="100" spans="13:18">
      <c r="M100" s="42" t="s">
        <v>7</v>
      </c>
      <c r="N100" s="37"/>
      <c r="O100" s="37">
        <v>7163</v>
      </c>
      <c r="P100" s="37"/>
      <c r="Q100" s="37"/>
      <c r="R100" s="37">
        <v>7163</v>
      </c>
    </row>
    <row r="101" spans="13:18">
      <c r="M101" s="42" t="s">
        <v>14</v>
      </c>
      <c r="N101" s="37"/>
      <c r="O101" s="37"/>
      <c r="P101" s="37">
        <v>15061</v>
      </c>
      <c r="Q101" s="37">
        <v>11654</v>
      </c>
      <c r="R101" s="37">
        <v>26715</v>
      </c>
    </row>
    <row r="102" spans="13:18">
      <c r="M102" s="42" t="s">
        <v>2</v>
      </c>
      <c r="N102" s="37">
        <v>4603</v>
      </c>
      <c r="O102" s="37">
        <v>21425</v>
      </c>
      <c r="P102" s="37">
        <v>28513</v>
      </c>
      <c r="Q102" s="37">
        <v>1743</v>
      </c>
      <c r="R102" s="37">
        <v>56284</v>
      </c>
    </row>
    <row r="103" spans="13:18">
      <c r="M103" s="20" t="s">
        <v>67</v>
      </c>
      <c r="N103" s="37">
        <v>127987</v>
      </c>
      <c r="O103" s="37">
        <v>305423</v>
      </c>
      <c r="P103" s="37">
        <v>455491</v>
      </c>
      <c r="Q103" s="37">
        <v>145833</v>
      </c>
      <c r="R103" s="37">
        <v>1034734</v>
      </c>
    </row>
  </sheetData>
  <mergeCells count="1">
    <mergeCell ref="A1:E1"/>
  </mergeCells>
  <pageMargins left="0.7" right="0.7" top="0.75" bottom="0.75" header="0.3" footer="0.3"/>
  <drawing r:id="rId17"/>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0A44A6-A77D-4262-AD55-40E6CBC7DF3F}">
  <dimension ref="A2:K14"/>
  <sheetViews>
    <sheetView workbookViewId="0">
      <selection activeCell="B14" sqref="B14"/>
    </sheetView>
  </sheetViews>
  <sheetFormatPr defaultColWidth="9.109375" defaultRowHeight="21"/>
  <cols>
    <col min="1" max="16384" width="9.109375" style="16"/>
  </cols>
  <sheetData>
    <row r="2" spans="1:11">
      <c r="A2" s="18">
        <v>1</v>
      </c>
      <c r="B2" s="17" t="s">
        <v>52</v>
      </c>
      <c r="C2" s="17"/>
      <c r="D2" s="17"/>
      <c r="E2" s="17"/>
      <c r="F2" s="17"/>
      <c r="G2" s="17"/>
      <c r="H2" s="17"/>
      <c r="I2" s="17"/>
      <c r="J2" s="17"/>
      <c r="K2" s="17"/>
    </row>
    <row r="3" spans="1:11">
      <c r="A3" s="18">
        <v>2</v>
      </c>
      <c r="B3" s="17" t="s">
        <v>53</v>
      </c>
      <c r="C3" s="17"/>
      <c r="D3" s="17"/>
      <c r="E3" s="17"/>
      <c r="F3" s="17"/>
      <c r="G3" s="17"/>
      <c r="H3" s="17"/>
      <c r="I3" s="17"/>
      <c r="J3" s="17"/>
      <c r="K3" s="17"/>
    </row>
    <row r="4" spans="1:11">
      <c r="A4" s="18">
        <v>3</v>
      </c>
      <c r="B4" s="17" t="s">
        <v>56</v>
      </c>
      <c r="C4" s="17"/>
      <c r="D4" s="17"/>
      <c r="E4" s="17"/>
      <c r="F4" s="17"/>
      <c r="G4" s="17"/>
      <c r="H4" s="17"/>
      <c r="I4" s="17"/>
      <c r="J4" s="17"/>
      <c r="K4" s="17"/>
    </row>
    <row r="5" spans="1:11">
      <c r="A5" s="18">
        <v>4</v>
      </c>
      <c r="B5" s="17" t="s">
        <v>57</v>
      </c>
      <c r="C5" s="17"/>
      <c r="D5" s="17"/>
      <c r="E5" s="17"/>
      <c r="F5" s="17"/>
      <c r="G5" s="17"/>
      <c r="H5" s="17"/>
      <c r="I5" s="17"/>
      <c r="J5" s="17"/>
      <c r="K5" s="17"/>
    </row>
    <row r="6" spans="1:11">
      <c r="A6" s="18">
        <v>5</v>
      </c>
      <c r="B6" s="17" t="s">
        <v>58</v>
      </c>
      <c r="C6" s="17"/>
      <c r="D6" s="17"/>
      <c r="E6" s="17"/>
      <c r="F6" s="17"/>
      <c r="G6" s="17"/>
      <c r="H6" s="17"/>
      <c r="I6" s="17"/>
      <c r="J6" s="17"/>
      <c r="K6" s="17"/>
    </row>
    <row r="7" spans="1:11">
      <c r="A7" s="18">
        <v>6</v>
      </c>
      <c r="B7" s="17" t="s">
        <v>62</v>
      </c>
      <c r="C7" s="17"/>
      <c r="D7" s="17"/>
      <c r="E7" s="17"/>
      <c r="F7" s="17"/>
      <c r="G7" s="17"/>
      <c r="H7" s="17"/>
      <c r="I7" s="17"/>
      <c r="J7" s="17"/>
      <c r="K7" s="17"/>
    </row>
    <row r="8" spans="1:11">
      <c r="A8" s="18">
        <v>7</v>
      </c>
      <c r="B8" s="17" t="s">
        <v>59</v>
      </c>
      <c r="C8" s="17"/>
      <c r="D8" s="17"/>
      <c r="E8" s="17"/>
      <c r="F8" s="17"/>
      <c r="G8" s="17"/>
      <c r="H8" s="17"/>
      <c r="I8" s="17"/>
      <c r="J8" s="17"/>
      <c r="K8" s="17"/>
    </row>
    <row r="9" spans="1:11">
      <c r="A9" s="18">
        <v>8</v>
      </c>
      <c r="B9" s="17" t="s">
        <v>60</v>
      </c>
      <c r="C9" s="17"/>
      <c r="D9" s="17"/>
      <c r="E9" s="17"/>
      <c r="F9" s="17"/>
      <c r="G9" s="17"/>
      <c r="H9" s="17"/>
      <c r="I9" s="17"/>
      <c r="J9" s="17"/>
      <c r="K9" s="17"/>
    </row>
    <row r="10" spans="1:11">
      <c r="A10" s="18">
        <v>9</v>
      </c>
      <c r="B10" s="17" t="s">
        <v>54</v>
      </c>
      <c r="C10" s="17"/>
      <c r="D10" s="17"/>
      <c r="E10" s="17"/>
      <c r="F10" s="17"/>
      <c r="G10" s="17"/>
      <c r="H10" s="17"/>
      <c r="I10" s="17"/>
      <c r="J10" s="17"/>
      <c r="K10" s="17"/>
    </row>
    <row r="11" spans="1:11">
      <c r="A11" s="18">
        <v>10</v>
      </c>
      <c r="B11" s="17" t="s">
        <v>61</v>
      </c>
      <c r="C11" s="17"/>
      <c r="D11" s="17"/>
      <c r="E11" s="17"/>
      <c r="F11" s="17"/>
      <c r="G11" s="17"/>
      <c r="H11" s="17"/>
      <c r="I11" s="17"/>
      <c r="J11" s="17"/>
      <c r="K11" s="17"/>
    </row>
    <row r="12" spans="1:11">
      <c r="A12" s="18">
        <v>11</v>
      </c>
      <c r="B12" s="17" t="s">
        <v>63</v>
      </c>
      <c r="C12" s="17"/>
      <c r="D12" s="17"/>
      <c r="E12" s="17"/>
      <c r="F12" s="17"/>
      <c r="G12" s="17"/>
      <c r="H12" s="17"/>
      <c r="I12" s="17"/>
      <c r="J12" s="17"/>
      <c r="K12" s="17"/>
    </row>
    <row r="13" spans="1:11">
      <c r="A13" s="18">
        <v>12</v>
      </c>
      <c r="B13" s="17" t="s">
        <v>64</v>
      </c>
      <c r="C13" s="17"/>
      <c r="D13" s="17" t="s">
        <v>65</v>
      </c>
      <c r="E13" s="17"/>
      <c r="F13" s="17"/>
      <c r="G13" s="17"/>
      <c r="H13" s="17"/>
      <c r="I13" s="17"/>
      <c r="J13" s="17"/>
      <c r="K13" s="17"/>
    </row>
    <row r="14" spans="1:11">
      <c r="A14" s="18">
        <v>13</v>
      </c>
      <c r="B14" s="17" t="s">
        <v>55</v>
      </c>
      <c r="C14" s="17"/>
      <c r="D14" s="17"/>
      <c r="E14" s="17"/>
      <c r="F14" s="17"/>
      <c r="G14" s="17"/>
      <c r="H14" s="17"/>
      <c r="I14" s="17"/>
      <c r="J14" s="17"/>
      <c r="K14" s="17"/>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4F9BF0-921E-4D73-BA58-B4FFB9EF31AC}">
  <dimension ref="C3:AM57"/>
  <sheetViews>
    <sheetView showGridLines="0" zoomScale="55" zoomScaleNormal="55" workbookViewId="0">
      <selection activeCell="AO21" sqref="AO21"/>
    </sheetView>
  </sheetViews>
  <sheetFormatPr defaultRowHeight="14.4"/>
  <sheetData>
    <row r="3" spans="3:39">
      <c r="C3" s="44"/>
      <c r="D3" s="44"/>
      <c r="E3" s="44"/>
      <c r="F3" s="44"/>
      <c r="G3" s="44"/>
      <c r="H3" s="44"/>
      <c r="I3" s="44"/>
      <c r="J3" s="44"/>
      <c r="K3" s="44"/>
      <c r="L3" s="44"/>
      <c r="M3" s="44"/>
      <c r="N3" s="44"/>
      <c r="O3" s="44"/>
      <c r="P3" s="44"/>
      <c r="Q3" s="44"/>
      <c r="R3" s="44"/>
      <c r="S3" s="44"/>
      <c r="T3" s="44"/>
      <c r="U3" s="44"/>
      <c r="V3" s="44"/>
      <c r="W3" s="44"/>
      <c r="X3" s="44"/>
      <c r="Y3" s="44"/>
      <c r="Z3" s="44"/>
      <c r="AA3" s="44"/>
      <c r="AB3" s="44"/>
      <c r="AC3" s="44"/>
      <c r="AD3" s="44"/>
      <c r="AE3" s="44"/>
      <c r="AF3" s="44"/>
      <c r="AG3" s="44"/>
    </row>
    <row r="4" spans="3:39">
      <c r="C4" s="44"/>
      <c r="D4" s="44"/>
      <c r="E4" s="44"/>
      <c r="F4" s="44"/>
      <c r="G4" s="44"/>
      <c r="H4" s="44"/>
      <c r="I4" s="44"/>
      <c r="J4" s="44"/>
      <c r="K4" s="44"/>
      <c r="L4" s="44"/>
      <c r="M4" s="44"/>
      <c r="N4" s="44"/>
      <c r="O4" s="44"/>
      <c r="P4" s="44"/>
      <c r="Q4" s="44"/>
      <c r="R4" s="44"/>
      <c r="S4" s="44"/>
      <c r="T4" s="44"/>
      <c r="U4" s="44"/>
      <c r="V4" s="44"/>
      <c r="W4" s="44"/>
      <c r="X4" s="44"/>
      <c r="Y4" s="44"/>
      <c r="Z4" s="44"/>
      <c r="AA4" s="44"/>
      <c r="AB4" s="44"/>
      <c r="AC4" s="44"/>
      <c r="AD4" s="44"/>
      <c r="AE4" s="44"/>
      <c r="AF4" s="44"/>
      <c r="AG4" s="44"/>
    </row>
    <row r="5" spans="3:39">
      <c r="C5" s="44"/>
      <c r="D5" s="44"/>
      <c r="E5" s="44"/>
      <c r="F5" s="44"/>
      <c r="G5" s="44"/>
      <c r="H5" s="44"/>
      <c r="I5" s="44"/>
      <c r="J5" s="44"/>
      <c r="K5" s="44"/>
      <c r="L5" s="44"/>
      <c r="M5" s="44"/>
      <c r="N5" s="44"/>
      <c r="O5" s="44"/>
      <c r="P5" s="44"/>
      <c r="Q5" s="44"/>
      <c r="R5" s="44"/>
      <c r="S5" s="44"/>
      <c r="T5" s="44"/>
      <c r="U5" s="44"/>
      <c r="V5" s="44"/>
      <c r="W5" s="44"/>
      <c r="X5" s="44"/>
      <c r="Y5" s="44"/>
      <c r="Z5" s="44"/>
      <c r="AA5" s="44"/>
      <c r="AB5" s="44"/>
      <c r="AC5" s="44"/>
      <c r="AD5" s="44"/>
      <c r="AE5" s="44"/>
      <c r="AF5" s="44"/>
      <c r="AG5" s="44"/>
      <c r="AM5" t="s">
        <v>96</v>
      </c>
    </row>
    <row r="6" spans="3:39">
      <c r="AM6">
        <v>2015</v>
      </c>
    </row>
    <row r="7" spans="3:39">
      <c r="C7" s="50">
        <v>2019</v>
      </c>
      <c r="D7" s="50"/>
      <c r="E7" s="50"/>
      <c r="I7" s="50">
        <v>2020</v>
      </c>
      <c r="J7" s="50"/>
      <c r="K7" s="50"/>
      <c r="N7" s="50" t="s">
        <v>97</v>
      </c>
      <c r="O7" s="50"/>
      <c r="P7" s="50"/>
      <c r="R7" s="50" t="s">
        <v>98</v>
      </c>
      <c r="S7" s="50"/>
      <c r="T7" s="50"/>
    </row>
    <row r="8" spans="3:39">
      <c r="C8" s="50"/>
      <c r="D8" s="50"/>
      <c r="E8" s="50"/>
      <c r="I8" s="50"/>
      <c r="J8" s="50"/>
      <c r="K8" s="50"/>
      <c r="N8" s="50"/>
      <c r="O8" s="50"/>
      <c r="P8" s="50"/>
      <c r="R8" s="50"/>
      <c r="S8" s="50"/>
      <c r="T8" s="50"/>
    </row>
    <row r="9" spans="3:39">
      <c r="C9" s="49">
        <f>GETPIVOTDATA("Amount",PV!$I$26,"Year",2019)</f>
        <v>12779</v>
      </c>
      <c r="D9" s="49"/>
      <c r="E9" s="49"/>
      <c r="I9" s="49">
        <f>GETPIVOTDATA("Amount",PV!$I$26,"Year",2020)</f>
        <v>142389</v>
      </c>
      <c r="J9" s="49"/>
      <c r="K9" s="49"/>
      <c r="N9" s="48">
        <f>GETPIVOTDATA("Amount",PV!$A$20,"Category","Fruit")</f>
        <v>0.4281166219839142</v>
      </c>
      <c r="O9" s="48"/>
      <c r="P9" s="48"/>
      <c r="R9" s="48">
        <f>GETPIVOTDATA("Amount",PV!$A$20,"Category","Vegetables")</f>
        <v>0.5718833780160858</v>
      </c>
      <c r="S9" s="48"/>
      <c r="T9" s="48"/>
    </row>
    <row r="10" spans="3:39">
      <c r="C10" s="49"/>
      <c r="D10" s="49"/>
      <c r="E10" s="49"/>
      <c r="I10" s="49"/>
      <c r="J10" s="49"/>
      <c r="K10" s="49"/>
      <c r="N10" s="48"/>
      <c r="O10" s="48"/>
      <c r="P10" s="48"/>
      <c r="R10" s="48"/>
      <c r="S10" s="48"/>
      <c r="T10" s="48"/>
    </row>
    <row r="57" spans="39:39" ht="28.8">
      <c r="AM57" s="36"/>
    </row>
  </sheetData>
  <mergeCells count="9">
    <mergeCell ref="R9:T10"/>
    <mergeCell ref="C3:AG5"/>
    <mergeCell ref="C9:E10"/>
    <mergeCell ref="C7:E8"/>
    <mergeCell ref="I7:K8"/>
    <mergeCell ref="I9:K10"/>
    <mergeCell ref="N7:P8"/>
    <mergeCell ref="N9:P10"/>
    <mergeCell ref="R7:T8"/>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Worksheets</vt:lpstr>
      </vt:variant>
      <vt:variant>
        <vt:i4>12</vt:i4>
      </vt:variant>
      <vt:variant>
        <vt:lpstr>Charts</vt:lpstr>
      </vt:variant>
      <vt:variant>
        <vt:i4>1</vt:i4>
      </vt:variant>
      <vt:variant>
        <vt:lpstr>Named Ranges</vt:lpstr>
      </vt:variant>
      <vt:variant>
        <vt:i4>11</vt:i4>
      </vt:variant>
    </vt:vector>
  </HeadingPairs>
  <TitlesOfParts>
    <vt:vector size="24" baseType="lpstr">
      <vt:lpstr>My Dashboard</vt:lpstr>
      <vt:lpstr>Problem (2)</vt:lpstr>
      <vt:lpstr>PV</vt:lpstr>
      <vt:lpstr>Sheet1</vt:lpstr>
      <vt:lpstr>Big one</vt:lpstr>
      <vt:lpstr>Dash</vt:lpstr>
      <vt:lpstr>Dependant DropDown List</vt:lpstr>
      <vt:lpstr>Problem</vt:lpstr>
      <vt:lpstr>Sheet5</vt:lpstr>
      <vt:lpstr>Sheet3</vt:lpstr>
      <vt:lpstr>Requirments</vt:lpstr>
      <vt:lpstr>Dash (2)</vt:lpstr>
      <vt:lpstr>Chart1</vt:lpstr>
      <vt:lpstr>Name</vt:lpstr>
      <vt:lpstr>No</vt:lpstr>
      <vt:lpstr>No1_</vt:lpstr>
      <vt:lpstr>No2_</vt:lpstr>
      <vt:lpstr>'Big one'!Print_Titles</vt:lpstr>
      <vt:lpstr>range</vt:lpstr>
      <vt:lpstr>Yes</vt:lpstr>
      <vt:lpstr>Yes1</vt:lpstr>
      <vt:lpstr>Yes2</vt:lpstr>
      <vt:lpstr>الإجابة</vt:lpstr>
      <vt:lpstr>تم_لأ</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Ahmed Ismail</dc:creator>
  <cp:lastModifiedBy>mohammed</cp:lastModifiedBy>
  <cp:lastPrinted>2026-01-10T18:11:11Z</cp:lastPrinted>
  <dcterms:created xsi:type="dcterms:W3CDTF">2023-09-22T12:13:12Z</dcterms:created>
  <dcterms:modified xsi:type="dcterms:W3CDTF">2026-01-21T19:13:21Z</dcterms:modified>
</cp:coreProperties>
</file>